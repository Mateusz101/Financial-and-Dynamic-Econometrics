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11Home\Desktop\Studia\Magisterka\III semestr\EFID\Lab\4B\"/>
    </mc:Choice>
  </mc:AlternateContent>
  <xr:revisionPtr revIDLastSave="0" documentId="8_{DDAAD0D9-C852-4FA3-9E7F-9F277B0AD93B}" xr6:coauthVersionLast="47" xr6:coauthVersionMax="47" xr10:uidLastSave="{00000000-0000-0000-0000-000000000000}"/>
  <bookViews>
    <workbookView xWindow="-108" yWindow="-108" windowWidth="23256" windowHeight="12456" activeTab="1" xr2:uid="{0DFBD28D-F22E-4ADE-B47D-38B36454D437}"/>
  </bookViews>
  <sheets>
    <sheet name="Regresja" sheetId="2" r:id="rId1"/>
    <sheet name="MLE" sheetId="1" r:id="rId2"/>
  </sheets>
  <definedNames>
    <definedName name="solver_adj" localSheetId="1" hidden="1">MLE!$I$8:$I$11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MLE!$I$10</definedName>
    <definedName name="solver_lhs2" localSheetId="1" hidden="1">MLE!$I$10</definedName>
    <definedName name="solver_lhs3" localSheetId="1" hidden="1">MLE!$I$11</definedName>
    <definedName name="solver_lhs4" localSheetId="1" hidden="1">MLE!$K$8</definedName>
    <definedName name="solver_lhs5" localSheetId="1" hidden="1">MLE!$K$9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MLE!$I$6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3</definedName>
    <definedName name="solver_rel4" localSheetId="1" hidden="1">1</definedName>
    <definedName name="solver_rel5" localSheetId="1" hidden="1">1</definedName>
    <definedName name="solver_rhs1" localSheetId="1" hidden="1">0.999999999999999</definedName>
    <definedName name="solver_rhs2" localSheetId="1" hidden="1">-0.999999999999999</definedName>
    <definedName name="solver_rhs3" localSheetId="1" hidden="1">MLE!$K$11</definedName>
    <definedName name="solver_rhs4" localSheetId="1" hidden="1">0.999999999999999</definedName>
    <definedName name="solver_rhs5" localSheetId="1" hidden="1">0.999999999999999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/>
  <c r="O4" i="1" l="1"/>
  <c r="O3" i="1"/>
  <c r="N2" i="1"/>
  <c r="N3" i="1" s="1"/>
  <c r="O2" i="1"/>
  <c r="D4" i="1"/>
  <c r="Y3" i="1"/>
  <c r="Y4" i="1" s="1"/>
  <c r="Y5" i="1" s="1"/>
  <c r="Y6" i="1" s="1"/>
  <c r="Y7" i="1" s="1"/>
  <c r="Y8" i="1" s="1"/>
  <c r="Y9" i="1" s="1"/>
  <c r="Y10" i="1" s="1"/>
  <c r="Y11" i="1" s="1"/>
  <c r="Y12" i="1" s="1"/>
  <c r="U3" i="1"/>
  <c r="U2" i="1"/>
  <c r="I5" i="1"/>
  <c r="R2" i="1" l="1"/>
  <c r="P2" i="1"/>
  <c r="Q2" i="1"/>
  <c r="U4" i="1"/>
  <c r="N4" i="1"/>
  <c r="Q4" i="1" s="1"/>
  <c r="R3" i="1"/>
  <c r="Q3" i="1"/>
  <c r="P3" i="1"/>
  <c r="I2" i="1"/>
  <c r="I4" i="1" s="1"/>
  <c r="P4" i="1" l="1"/>
  <c r="R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4" i="1"/>
  <c r="B4" i="1"/>
  <c r="E4" i="1" s="1"/>
  <c r="F4" i="1" s="1"/>
  <c r="B5" i="1"/>
  <c r="D5" i="1" s="1"/>
  <c r="E5" i="1" s="1"/>
  <c r="F5" i="1" s="1"/>
  <c r="B6" i="1"/>
  <c r="D6" i="1" s="1"/>
  <c r="E6" i="1" s="1"/>
  <c r="F6" i="1" s="1"/>
  <c r="B7" i="1"/>
  <c r="D7" i="1" s="1"/>
  <c r="E7" i="1" s="1"/>
  <c r="F7" i="1" s="1"/>
  <c r="B8" i="1"/>
  <c r="D8" i="1" s="1"/>
  <c r="E8" i="1" s="1"/>
  <c r="F8" i="1" s="1"/>
  <c r="B9" i="1"/>
  <c r="D9" i="1" s="1"/>
  <c r="E9" i="1" s="1"/>
  <c r="F9" i="1" s="1"/>
  <c r="B10" i="1"/>
  <c r="D10" i="1" s="1"/>
  <c r="E10" i="1" s="1"/>
  <c r="F10" i="1" s="1"/>
  <c r="B11" i="1"/>
  <c r="D11" i="1" s="1"/>
  <c r="E11" i="1" s="1"/>
  <c r="F11" i="1" s="1"/>
  <c r="B12" i="1"/>
  <c r="D12" i="1" s="1"/>
  <c r="E12" i="1" s="1"/>
  <c r="F12" i="1" s="1"/>
  <c r="B13" i="1"/>
  <c r="D13" i="1" s="1"/>
  <c r="E13" i="1" s="1"/>
  <c r="F13" i="1" s="1"/>
  <c r="B14" i="1"/>
  <c r="D14" i="1" s="1"/>
  <c r="E14" i="1" s="1"/>
  <c r="F14" i="1" s="1"/>
  <c r="B15" i="1"/>
  <c r="D15" i="1" s="1"/>
  <c r="E15" i="1" s="1"/>
  <c r="F15" i="1" s="1"/>
  <c r="B16" i="1"/>
  <c r="D16" i="1" s="1"/>
  <c r="E16" i="1" s="1"/>
  <c r="F16" i="1" s="1"/>
  <c r="B17" i="1"/>
  <c r="D17" i="1" s="1"/>
  <c r="E17" i="1" s="1"/>
  <c r="F17" i="1" s="1"/>
  <c r="B18" i="1"/>
  <c r="D18" i="1" s="1"/>
  <c r="E18" i="1" s="1"/>
  <c r="F18" i="1" s="1"/>
  <c r="B19" i="1"/>
  <c r="D19" i="1" s="1"/>
  <c r="E19" i="1" s="1"/>
  <c r="F19" i="1" s="1"/>
  <c r="B20" i="1"/>
  <c r="D20" i="1" s="1"/>
  <c r="E20" i="1" s="1"/>
  <c r="F20" i="1" s="1"/>
  <c r="B21" i="1"/>
  <c r="D21" i="1" s="1"/>
  <c r="E21" i="1" s="1"/>
  <c r="F21" i="1" s="1"/>
  <c r="B22" i="1"/>
  <c r="D22" i="1" s="1"/>
  <c r="E22" i="1" s="1"/>
  <c r="F22" i="1" s="1"/>
  <c r="B23" i="1"/>
  <c r="D23" i="1" s="1"/>
  <c r="E23" i="1" s="1"/>
  <c r="F23" i="1" s="1"/>
  <c r="B24" i="1"/>
  <c r="D24" i="1" s="1"/>
  <c r="E24" i="1" s="1"/>
  <c r="F24" i="1" s="1"/>
  <c r="B25" i="1"/>
  <c r="D25" i="1" s="1"/>
  <c r="E25" i="1" s="1"/>
  <c r="F25" i="1" s="1"/>
  <c r="B26" i="1"/>
  <c r="D26" i="1" s="1"/>
  <c r="E26" i="1" s="1"/>
  <c r="F26" i="1" s="1"/>
  <c r="B27" i="1"/>
  <c r="D27" i="1" s="1"/>
  <c r="E27" i="1" s="1"/>
  <c r="F27" i="1" s="1"/>
  <c r="B28" i="1"/>
  <c r="D28" i="1" s="1"/>
  <c r="E28" i="1" s="1"/>
  <c r="F28" i="1" s="1"/>
  <c r="B29" i="1"/>
  <c r="D29" i="1" s="1"/>
  <c r="E29" i="1" s="1"/>
  <c r="F29" i="1" s="1"/>
  <c r="B30" i="1"/>
  <c r="D30" i="1" s="1"/>
  <c r="E30" i="1" s="1"/>
  <c r="F30" i="1" s="1"/>
  <c r="B31" i="1"/>
  <c r="D31" i="1" s="1"/>
  <c r="E31" i="1" s="1"/>
  <c r="F31" i="1" s="1"/>
  <c r="B32" i="1"/>
  <c r="D32" i="1" s="1"/>
  <c r="E32" i="1" s="1"/>
  <c r="F32" i="1" s="1"/>
  <c r="B33" i="1"/>
  <c r="D33" i="1" s="1"/>
  <c r="E33" i="1" s="1"/>
  <c r="F33" i="1" s="1"/>
  <c r="B34" i="1"/>
  <c r="D34" i="1" s="1"/>
  <c r="E34" i="1" s="1"/>
  <c r="F34" i="1" s="1"/>
  <c r="B35" i="1"/>
  <c r="D35" i="1" s="1"/>
  <c r="E35" i="1" s="1"/>
  <c r="F35" i="1" s="1"/>
  <c r="B36" i="1"/>
  <c r="D36" i="1" s="1"/>
  <c r="E36" i="1" s="1"/>
  <c r="F36" i="1" s="1"/>
  <c r="B37" i="1"/>
  <c r="D37" i="1" s="1"/>
  <c r="E37" i="1" s="1"/>
  <c r="F37" i="1" s="1"/>
  <c r="B38" i="1"/>
  <c r="D38" i="1" s="1"/>
  <c r="E38" i="1" s="1"/>
  <c r="F38" i="1" s="1"/>
  <c r="B39" i="1"/>
  <c r="D39" i="1" s="1"/>
  <c r="E39" i="1" s="1"/>
  <c r="F39" i="1" s="1"/>
  <c r="B40" i="1"/>
  <c r="D40" i="1" s="1"/>
  <c r="E40" i="1" s="1"/>
  <c r="F40" i="1" s="1"/>
  <c r="B41" i="1"/>
  <c r="D41" i="1" s="1"/>
  <c r="E41" i="1" s="1"/>
  <c r="F41" i="1" s="1"/>
  <c r="B42" i="1"/>
  <c r="D42" i="1" s="1"/>
  <c r="E42" i="1" s="1"/>
  <c r="F42" i="1" s="1"/>
  <c r="B43" i="1"/>
  <c r="D43" i="1" s="1"/>
  <c r="E43" i="1" s="1"/>
  <c r="F43" i="1" s="1"/>
  <c r="B44" i="1"/>
  <c r="D44" i="1" s="1"/>
  <c r="E44" i="1" s="1"/>
  <c r="F44" i="1" s="1"/>
  <c r="B45" i="1"/>
  <c r="D45" i="1" s="1"/>
  <c r="E45" i="1" s="1"/>
  <c r="F45" i="1" s="1"/>
  <c r="B46" i="1"/>
  <c r="D46" i="1" s="1"/>
  <c r="E46" i="1" s="1"/>
  <c r="F46" i="1" s="1"/>
  <c r="B47" i="1"/>
  <c r="D47" i="1" s="1"/>
  <c r="E47" i="1" s="1"/>
  <c r="F47" i="1" s="1"/>
  <c r="B48" i="1"/>
  <c r="D48" i="1" s="1"/>
  <c r="E48" i="1" s="1"/>
  <c r="F48" i="1" s="1"/>
  <c r="B49" i="1"/>
  <c r="D49" i="1" s="1"/>
  <c r="E49" i="1" s="1"/>
  <c r="F49" i="1" s="1"/>
  <c r="B50" i="1"/>
  <c r="D50" i="1" s="1"/>
  <c r="E50" i="1" s="1"/>
  <c r="F50" i="1" s="1"/>
  <c r="B51" i="1"/>
  <c r="D51" i="1" s="1"/>
  <c r="E51" i="1" s="1"/>
  <c r="F51" i="1" s="1"/>
  <c r="B52" i="1"/>
  <c r="D52" i="1" s="1"/>
  <c r="E52" i="1" s="1"/>
  <c r="F52" i="1" s="1"/>
  <c r="B53" i="1"/>
  <c r="D53" i="1" s="1"/>
  <c r="E53" i="1" s="1"/>
  <c r="F53" i="1" s="1"/>
  <c r="B54" i="1"/>
  <c r="D54" i="1" s="1"/>
  <c r="E54" i="1" s="1"/>
  <c r="F54" i="1" s="1"/>
  <c r="B55" i="1"/>
  <c r="D55" i="1" s="1"/>
  <c r="E55" i="1" s="1"/>
  <c r="F55" i="1" s="1"/>
  <c r="B56" i="1"/>
  <c r="D56" i="1" s="1"/>
  <c r="E56" i="1" s="1"/>
  <c r="F56" i="1" s="1"/>
  <c r="B57" i="1"/>
  <c r="D57" i="1" s="1"/>
  <c r="E57" i="1" s="1"/>
  <c r="F57" i="1" s="1"/>
  <c r="B58" i="1"/>
  <c r="D58" i="1" s="1"/>
  <c r="E58" i="1" s="1"/>
  <c r="F58" i="1" s="1"/>
  <c r="B59" i="1"/>
  <c r="D59" i="1" s="1"/>
  <c r="E59" i="1" s="1"/>
  <c r="F59" i="1" s="1"/>
  <c r="B60" i="1"/>
  <c r="D60" i="1" s="1"/>
  <c r="E60" i="1" s="1"/>
  <c r="F60" i="1" s="1"/>
  <c r="B61" i="1"/>
  <c r="D61" i="1" s="1"/>
  <c r="E61" i="1" s="1"/>
  <c r="F61" i="1" s="1"/>
  <c r="B62" i="1"/>
  <c r="D62" i="1" s="1"/>
  <c r="E62" i="1" s="1"/>
  <c r="F62" i="1" s="1"/>
  <c r="B63" i="1"/>
  <c r="D63" i="1" s="1"/>
  <c r="E63" i="1" s="1"/>
  <c r="F63" i="1" s="1"/>
  <c r="B64" i="1"/>
  <c r="D64" i="1" s="1"/>
  <c r="E64" i="1" s="1"/>
  <c r="F64" i="1" s="1"/>
  <c r="B65" i="1"/>
  <c r="D65" i="1" s="1"/>
  <c r="E65" i="1" s="1"/>
  <c r="F65" i="1" s="1"/>
  <c r="B66" i="1"/>
  <c r="D66" i="1" s="1"/>
  <c r="E66" i="1" s="1"/>
  <c r="F66" i="1" s="1"/>
  <c r="B67" i="1"/>
  <c r="D67" i="1" s="1"/>
  <c r="E67" i="1" s="1"/>
  <c r="F67" i="1" s="1"/>
  <c r="B68" i="1"/>
  <c r="D68" i="1" s="1"/>
  <c r="E68" i="1" s="1"/>
  <c r="F68" i="1" s="1"/>
  <c r="B69" i="1"/>
  <c r="D69" i="1" s="1"/>
  <c r="E69" i="1" s="1"/>
  <c r="F69" i="1" s="1"/>
  <c r="B70" i="1"/>
  <c r="D70" i="1" s="1"/>
  <c r="E70" i="1" s="1"/>
  <c r="F70" i="1" s="1"/>
  <c r="B71" i="1"/>
  <c r="D71" i="1" s="1"/>
  <c r="E71" i="1" s="1"/>
  <c r="F71" i="1" s="1"/>
  <c r="B72" i="1"/>
  <c r="D72" i="1" s="1"/>
  <c r="E72" i="1" s="1"/>
  <c r="F72" i="1" s="1"/>
  <c r="B73" i="1"/>
  <c r="D73" i="1" s="1"/>
  <c r="E73" i="1" s="1"/>
  <c r="F73" i="1" s="1"/>
  <c r="B74" i="1"/>
  <c r="D74" i="1" s="1"/>
  <c r="E74" i="1" s="1"/>
  <c r="F74" i="1" s="1"/>
  <c r="B75" i="1"/>
  <c r="D75" i="1" s="1"/>
  <c r="E75" i="1" s="1"/>
  <c r="F75" i="1" s="1"/>
  <c r="B76" i="1"/>
  <c r="D76" i="1" s="1"/>
  <c r="E76" i="1" s="1"/>
  <c r="F76" i="1" s="1"/>
  <c r="B77" i="1"/>
  <c r="D77" i="1" s="1"/>
  <c r="E77" i="1" s="1"/>
  <c r="F77" i="1" s="1"/>
  <c r="B78" i="1"/>
  <c r="D78" i="1" s="1"/>
  <c r="E78" i="1" s="1"/>
  <c r="F78" i="1" s="1"/>
  <c r="B79" i="1"/>
  <c r="D79" i="1" s="1"/>
  <c r="E79" i="1" s="1"/>
  <c r="F79" i="1" s="1"/>
  <c r="B80" i="1"/>
  <c r="D80" i="1" s="1"/>
  <c r="E80" i="1" s="1"/>
  <c r="F80" i="1" s="1"/>
  <c r="B81" i="1"/>
  <c r="D81" i="1" s="1"/>
  <c r="E81" i="1" s="1"/>
  <c r="F81" i="1" s="1"/>
  <c r="B82" i="1"/>
  <c r="D82" i="1" s="1"/>
  <c r="E82" i="1" s="1"/>
  <c r="F82" i="1" s="1"/>
  <c r="B83" i="1"/>
  <c r="D83" i="1" s="1"/>
  <c r="E83" i="1" s="1"/>
  <c r="F83" i="1" s="1"/>
  <c r="B84" i="1"/>
  <c r="D84" i="1" s="1"/>
  <c r="E84" i="1" s="1"/>
  <c r="F84" i="1" s="1"/>
  <c r="B85" i="1"/>
  <c r="D85" i="1" s="1"/>
  <c r="E85" i="1" s="1"/>
  <c r="F85" i="1" s="1"/>
  <c r="B86" i="1"/>
  <c r="D86" i="1" s="1"/>
  <c r="E86" i="1" s="1"/>
  <c r="F86" i="1" s="1"/>
  <c r="B87" i="1"/>
  <c r="D87" i="1" s="1"/>
  <c r="E87" i="1" s="1"/>
  <c r="F87" i="1" s="1"/>
  <c r="B88" i="1"/>
  <c r="D88" i="1" s="1"/>
  <c r="E88" i="1" s="1"/>
  <c r="F88" i="1" s="1"/>
  <c r="B89" i="1"/>
  <c r="D89" i="1" s="1"/>
  <c r="E89" i="1" s="1"/>
  <c r="F89" i="1" s="1"/>
  <c r="B90" i="1"/>
  <c r="D90" i="1" s="1"/>
  <c r="E90" i="1" s="1"/>
  <c r="F90" i="1" s="1"/>
  <c r="B91" i="1"/>
  <c r="D91" i="1" s="1"/>
  <c r="E91" i="1" s="1"/>
  <c r="F91" i="1" s="1"/>
  <c r="B92" i="1"/>
  <c r="D92" i="1" s="1"/>
  <c r="E92" i="1" s="1"/>
  <c r="F92" i="1" s="1"/>
  <c r="B93" i="1"/>
  <c r="D93" i="1" s="1"/>
  <c r="E93" i="1" s="1"/>
  <c r="F93" i="1" s="1"/>
  <c r="B94" i="1"/>
  <c r="D94" i="1" s="1"/>
  <c r="E94" i="1" s="1"/>
  <c r="F94" i="1" s="1"/>
  <c r="B95" i="1"/>
  <c r="D95" i="1" s="1"/>
  <c r="E95" i="1" s="1"/>
  <c r="F95" i="1" s="1"/>
  <c r="B96" i="1"/>
  <c r="D96" i="1" s="1"/>
  <c r="E96" i="1" s="1"/>
  <c r="F96" i="1" s="1"/>
  <c r="B97" i="1"/>
  <c r="D97" i="1" s="1"/>
  <c r="E97" i="1" s="1"/>
  <c r="F97" i="1" s="1"/>
  <c r="B98" i="1"/>
  <c r="D98" i="1" s="1"/>
  <c r="E98" i="1" s="1"/>
  <c r="F98" i="1" s="1"/>
  <c r="B99" i="1"/>
  <c r="D99" i="1" s="1"/>
  <c r="E99" i="1" s="1"/>
  <c r="F99" i="1" s="1"/>
  <c r="B100" i="1"/>
  <c r="D100" i="1" s="1"/>
  <c r="E100" i="1" s="1"/>
  <c r="F100" i="1" s="1"/>
  <c r="B101" i="1"/>
  <c r="D101" i="1" s="1"/>
  <c r="E101" i="1" s="1"/>
  <c r="F101" i="1" s="1"/>
  <c r="B102" i="1"/>
  <c r="D102" i="1" s="1"/>
  <c r="E102" i="1" s="1"/>
  <c r="F102" i="1" s="1"/>
  <c r="B103" i="1"/>
  <c r="D103" i="1" s="1"/>
  <c r="E103" i="1" s="1"/>
  <c r="F103" i="1" s="1"/>
  <c r="B104" i="1"/>
  <c r="D104" i="1" s="1"/>
  <c r="E104" i="1" s="1"/>
  <c r="F104" i="1" s="1"/>
  <c r="B105" i="1"/>
  <c r="D105" i="1" s="1"/>
  <c r="E105" i="1" s="1"/>
  <c r="F105" i="1" s="1"/>
  <c r="B106" i="1"/>
  <c r="D106" i="1" s="1"/>
  <c r="E106" i="1" s="1"/>
  <c r="F106" i="1" s="1"/>
  <c r="B107" i="1"/>
  <c r="D107" i="1" s="1"/>
  <c r="E107" i="1" s="1"/>
  <c r="F107" i="1" s="1"/>
  <c r="B108" i="1"/>
  <c r="D108" i="1" s="1"/>
  <c r="E108" i="1" s="1"/>
  <c r="F108" i="1" s="1"/>
  <c r="B109" i="1"/>
  <c r="D109" i="1" s="1"/>
  <c r="E109" i="1" s="1"/>
  <c r="F109" i="1" s="1"/>
  <c r="B110" i="1"/>
  <c r="B3" i="1"/>
  <c r="D110" i="1" l="1"/>
  <c r="E110" i="1" s="1"/>
  <c r="F110" i="1" s="1"/>
  <c r="I6" i="1" s="1"/>
</calcChain>
</file>

<file path=xl/sharedStrings.xml><?xml version="1.0" encoding="utf-8"?>
<sst xmlns="http://schemas.openxmlformats.org/spreadsheetml/2006/main" count="68" uniqueCount="66">
  <si>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</si>
  <si>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</si>
  <si>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</si>
  <si>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</si>
  <si>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</si>
  <si>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</si>
  <si>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</si>
  <si>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</si>
  <si>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</si>
  <si>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</si>
  <si>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</si>
  <si>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</si>
  <si>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</si>
  <si>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</si>
  <si>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</si>
  <si>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</si>
  <si>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</si>
  <si>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</si>
  <si>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</si>
  <si>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</si>
  <si>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</si>
  <si>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</si>
  <si>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</si>
  <si>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</si>
  <si>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</si>
  <si>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X Variable 2</t>
  </si>
  <si>
    <t>X_t</t>
  </si>
  <si>
    <t>X_t-1</t>
  </si>
  <si>
    <t>X_t-2</t>
  </si>
  <si>
    <t>X_hat</t>
  </si>
  <si>
    <t>reszty</t>
  </si>
  <si>
    <t>likelihood sig</t>
  </si>
  <si>
    <t>parametry modelu</t>
  </si>
  <si>
    <t>oszacowane wartości</t>
  </si>
  <si>
    <t>h</t>
  </si>
  <si>
    <t>prognozy</t>
  </si>
  <si>
    <t>wariancje błędów prognoz</t>
  </si>
  <si>
    <t>przedział ufności - dół</t>
  </si>
  <si>
    <t>przedział ufności - góra</t>
  </si>
  <si>
    <t>P(X_(T+h)&gt;0)</t>
  </si>
  <si>
    <t>Współczynniki autokorelacji (obliczone na podstawie oszacowanych parametrów modelu)</t>
  </si>
  <si>
    <t>T</t>
  </si>
  <si>
    <t>E(X_t)</t>
  </si>
  <si>
    <t>ro0</t>
  </si>
  <si>
    <t>p</t>
  </si>
  <si>
    <t>var(X_t)</t>
  </si>
  <si>
    <t>ro1</t>
  </si>
  <si>
    <t>-(T-p)/2 * log(2pi)</t>
  </si>
  <si>
    <t>P(X_t&gt;0)</t>
  </si>
  <si>
    <t>ro2</t>
  </si>
  <si>
    <t>-(T-p)/2 * log(sigm^2)</t>
  </si>
  <si>
    <t>ro3</t>
  </si>
  <si>
    <t>Funkcja celu</t>
  </si>
  <si>
    <t>ro4</t>
  </si>
  <si>
    <t>Ograniczenie</t>
  </si>
  <si>
    <t>ro5</t>
  </si>
  <si>
    <t>f0</t>
  </si>
  <si>
    <t>ro6</t>
  </si>
  <si>
    <t>f1</t>
  </si>
  <si>
    <t>ro7</t>
  </si>
  <si>
    <t>f2</t>
  </si>
  <si>
    <t>s2</t>
  </si>
  <si>
    <t>&gt;</t>
  </si>
  <si>
    <t>ro9</t>
  </si>
  <si>
    <t>ro10</t>
  </si>
  <si>
    <t>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</si>
</sst>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000000000000"/>
  </numFmts>
  <fonts count="6" x14ac:knownFonts="1">
    <font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1"/>
      <color theme="1"/>
      <name val="Symbol"/>
      <family val="1"/>
      <charset val="2"/>
    </font>
    <font>
      <sz val="8"/>
      <name val="Calibri"/>
      <family val="2"/>
      <charset val="238"/>
    </font>
    <font>
      <sz val="12"/>
      <color theme="1"/>
      <name val="Aptos Narrow"/>
      <family val="2"/>
      <scheme val="minor"/>
    </font>
    <font>
      <i/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4" fillId="0" borderId="0" xfId="1" applyAlignment="1">
      <alignment horizontal="right" wrapText="1"/>
    </xf>
    <xf numFmtId="0" fontId="0" fillId="0" borderId="0" xfId="0" quotePrefix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4">
    <cellStyle name="Comma 2" xfId="2" xr:uid="{C26387DA-FDB9-4EEB-A797-16BC0D4ACC9C}"/>
    <cellStyle name="Normal" xfId="0" builtinId="0"/>
    <cellStyle name="Normal 2" xfId="1" xr:uid="{4943FB26-FBD5-40FB-87DD-FEAFAD2BF3F1}"/>
    <cellStyle name="Percent 2" xfId="3" xr:uid="{525FE0DB-F857-4937-9D17-FDDCEFC120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514350</xdr:colOff>
      <xdr:row>16</xdr:row>
      <xdr:rowOff>158115</xdr:rowOff>
    </xdr:from>
    <xdr:to>
      <xdr:col>20</xdr:col>
      <xdr:colOff>472440</xdr:colOff>
      <xdr:row>26</xdr:row>
      <xdr:rowOff>57150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1A497DC-0E53-F8AD-13EF-2BBC786B1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2650" y="3830955"/>
          <a:ext cx="451104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B9C7-BE68-465F-94E0-6E4C785E2B31}">
  <dimension ref="A1:I19"/>
  <sheetViews>
    <sheetView workbookViewId="0">
      <selection activeCell="B17" sqref="B17:B19"/>
    </sheetView>
  </sheetViews>
  <sheetFormatPr defaultRowHeight="14.4" x14ac:dyDescent="0.3"/>
  <cols>
    <col min="2" max="2" width="27.109375" customWidth="1"/>
  </cols>
  <sheetData>
    <row r="1" spans="1:9" x14ac:dyDescent="0.3">
      <c r="A1" t="s">
        <v>0</v>
      </c>
    </row>
    <row r="2" spans="1:9" ht="15" thickBot="1" x14ac:dyDescent="0.35"/>
    <row r="3" spans="1:9" x14ac:dyDescent="0.3">
      <c r="A3" s="13" t="s">
        <v>1</v>
      </c>
      <c r="B3" s="13"/>
    </row>
    <row r="4" spans="1:9" x14ac:dyDescent="0.3">
      <c r="A4" t="s">
        <v>2</v>
      </c>
      <c r="B4">
        <v>0.18759212464765918</v>
      </c>
    </row>
    <row r="5" spans="1:9" x14ac:dyDescent="0.3">
      <c r="A5" t="s">
        <v>3</v>
      </c>
      <c r="B5">
        <v>3.5190805229822895E-2</v>
      </c>
    </row>
    <row r="6" spans="1:9" x14ac:dyDescent="0.3">
      <c r="A6" t="s">
        <v>4</v>
      </c>
      <c r="B6">
        <v>1.6636782253473335E-2</v>
      </c>
    </row>
    <row r="7" spans="1:9" x14ac:dyDescent="0.3">
      <c r="A7" t="s">
        <v>5</v>
      </c>
      <c r="B7">
        <v>2.2105241841536512E-2</v>
      </c>
    </row>
    <row r="8" spans="1:9" ht="15" thickBot="1" x14ac:dyDescent="0.35">
      <c r="A8" s="11" t="s">
        <v>6</v>
      </c>
      <c r="B8" s="11">
        <v>107</v>
      </c>
    </row>
    <row r="10" spans="1:9" ht="15" thickBot="1" x14ac:dyDescent="0.35">
      <c r="A10" t="s">
        <v>7</v>
      </c>
    </row>
    <row r="11" spans="1:9" x14ac:dyDescent="0.3">
      <c r="A11" s="12"/>
      <c r="B11" s="12" t="s">
        <v>8</v>
      </c>
      <c r="C11" s="12" t="s">
        <v>9</v>
      </c>
      <c r="D11" s="12" t="s">
        <v>10</v>
      </c>
      <c r="E11" s="12" t="s">
        <v>11</v>
      </c>
      <c r="F11" s="12" t="s">
        <v>12</v>
      </c>
    </row>
    <row r="12" spans="1:9" x14ac:dyDescent="0.3">
      <c r="A12" t="s">
        <v>13</v>
      </c>
      <c r="B12">
        <v>2</v>
      </c>
      <c r="C12">
        <v>1.8535813507999377E-3</v>
      </c>
      <c r="D12">
        <v>9.2679067539996884E-4</v>
      </c>
      <c r="E12">
        <v>1.8966671149798568</v>
      </c>
      <c r="F12">
        <v>0.15522245667175483</v>
      </c>
    </row>
    <row r="13" spans="1:9" x14ac:dyDescent="0.3">
      <c r="A13" t="s">
        <v>14</v>
      </c>
      <c r="B13">
        <v>104</v>
      </c>
      <c r="C13">
        <v>5.081873855477291E-2</v>
      </c>
      <c r="D13">
        <v>4.8864171687281648E-4</v>
      </c>
    </row>
    <row r="14" spans="1:9" ht="15" thickBot="1" x14ac:dyDescent="0.35">
      <c r="A14" s="11" t="s">
        <v>15</v>
      </c>
      <c r="B14" s="11">
        <v>106</v>
      </c>
      <c r="C14" s="11">
        <v>5.2672319905572848E-2</v>
      </c>
      <c r="D14" s="11"/>
      <c r="E14" s="11"/>
      <c r="F14" s="11"/>
    </row>
    <row r="15" spans="1:9" ht="15" thickBot="1" x14ac:dyDescent="0.35"/>
    <row r="16" spans="1:9" x14ac:dyDescent="0.3">
      <c r="A16" s="12"/>
      <c r="B16" s="12" t="s">
        <v>16</v>
      </c>
      <c r="C16" s="12" t="s">
        <v>5</v>
      </c>
      <c r="D16" s="12" t="s">
        <v>17</v>
      </c>
      <c r="E16" s="12" t="s">
        <v>18</v>
      </c>
      <c r="F16" s="12" t="s">
        <v>19</v>
      </c>
      <c r="G16" s="12" t="s">
        <v>20</v>
      </c>
      <c r="H16" s="12" t="s">
        <v>21</v>
      </c>
      <c r="I16" s="12" t="s">
        <v>22</v>
      </c>
    </row>
    <row r="17" spans="1:9" x14ac:dyDescent="0.3">
      <c r="A17" t="s">
        <v>23</v>
      </c>
      <c r="B17">
        <v>-3.4070484011313926E-3</v>
      </c>
      <c r="C17">
        <v>2.164971568565351E-3</v>
      </c>
      <c r="D17">
        <v>-1.5737150781102967</v>
      </c>
      <c r="E17">
        <v>0.11859067211161578</v>
      </c>
      <c r="F17">
        <v>-7.7002682653668254E-3</v>
      </c>
      <c r="G17">
        <v>8.8617146310404063E-4</v>
      </c>
      <c r="H17">
        <v>-7.7002682653668254E-3</v>
      </c>
      <c r="I17">
        <v>8.8617146310404063E-4</v>
      </c>
    </row>
    <row r="18" spans="1:9" x14ac:dyDescent="0.3">
      <c r="A18" t="s">
        <v>24</v>
      </c>
      <c r="B18">
        <v>-0.14098312208864577</v>
      </c>
      <c r="C18">
        <v>9.7486188499872908E-2</v>
      </c>
      <c r="D18">
        <v>-1.4461856008333895</v>
      </c>
      <c r="E18">
        <v>0.15113218367440062</v>
      </c>
      <c r="F18">
        <v>-0.3343018921977603</v>
      </c>
      <c r="G18">
        <v>5.2335648020468778E-2</v>
      </c>
      <c r="H18">
        <v>-0.3343018921977603</v>
      </c>
      <c r="I18">
        <v>5.2335648020468778E-2</v>
      </c>
    </row>
    <row r="19" spans="1:9" ht="15" thickBot="1" x14ac:dyDescent="0.35">
      <c r="A19" s="11" t="s">
        <v>25</v>
      </c>
      <c r="B19" s="11">
        <v>-0.14409268852777038</v>
      </c>
      <c r="C19" s="11">
        <v>9.7548894113066234E-2</v>
      </c>
      <c r="D19" s="11">
        <v>-1.477132978675868</v>
      </c>
      <c r="E19" s="11">
        <v>0.14266183592211926</v>
      </c>
      <c r="F19" s="11">
        <v>-0.33753580622096846</v>
      </c>
      <c r="G19" s="11">
        <v>4.9350429165427701E-2</v>
      </c>
      <c r="H19" s="11">
        <v>-0.33753580622096846</v>
      </c>
      <c r="I19" s="11">
        <v>4.9350429165427701E-2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01C3-B9FD-487D-9C2A-DEEF11180A7E}">
  <dimension ref="A1:AE110"/>
  <sheetViews>
    <sheetView tabSelected="1" workbookViewId="0">
      <selection activeCell="O6" sqref="O5:O6"/>
    </sheetView>
  </sheetViews>
  <sheetFormatPr defaultRowHeight="14.4" x14ac:dyDescent="0.3"/>
  <cols>
    <col min="1" max="1" width="12" style="2" customWidth="1"/>
    <col min="2" max="2" width="8.88671875" style="2"/>
    <col min="5" max="5" width="8.88671875" style="2"/>
    <col min="6" max="6" width="10.44140625" style="2" customWidth="1"/>
    <col min="7" max="7" width="8.88671875" style="2"/>
    <col min="8" max="8" width="19.44140625" style="2" customWidth="1"/>
    <col min="9" max="10" width="8.88671875" style="2"/>
    <col min="11" max="11" width="10" style="2" bestFit="1" customWidth="1"/>
    <col min="12" max="12" width="12" style="2" bestFit="1" customWidth="1"/>
    <col min="13" max="13" width="18.6640625" style="2" bestFit="1" customWidth="1"/>
    <col min="14" max="14" width="8.88671875" style="2"/>
    <col min="15" max="15" width="13.109375" style="2" customWidth="1"/>
    <col min="16" max="17" width="8.88671875" style="2"/>
  </cols>
  <sheetData>
    <row r="1" spans="1:31" s="4" customFormat="1" ht="73.2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5" t="s">
        <v>30</v>
      </c>
      <c r="F1" s="9" t="s">
        <v>31</v>
      </c>
      <c r="H1" s="4" t="s">
        <v>32</v>
      </c>
      <c r="I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W1" s="20" t="s">
        <v>40</v>
      </c>
      <c r="X1" s="20"/>
      <c r="Y1" s="20"/>
      <c r="Z1" s="20"/>
    </row>
    <row r="2" spans="1:31" x14ac:dyDescent="0.3">
      <c r="A2" s="1">
        <v>6.1824672965526579E-3</v>
      </c>
      <c r="B2" s="1"/>
      <c r="C2" s="8"/>
      <c r="D2" s="8"/>
      <c r="E2" s="6"/>
      <c r="H2" s="2" t="s">
        <v>41</v>
      </c>
      <c r="I2" s="6">
        <f>COUNT(A4:A110)</f>
        <v>107</v>
      </c>
      <c r="M2" s="2">
        <v>1</v>
      </c>
      <c r="N2" s="17">
        <f>$I$8+$I$9*A110+$I$10*B110</f>
        <v>2.0575621544790075E-3</v>
      </c>
      <c r="O2" s="16">
        <f>I11</f>
        <v>4.83987493370863E-4</v>
      </c>
      <c r="P2" s="16">
        <f>N2-_xlfn.NORM.INV(1-$I$14/2,0,1)*SQRT($O2)</f>
        <v>-4.1061088398560569E-2</v>
      </c>
      <c r="Q2" s="16">
        <f>N2+_xlfn.NORM.INV(1-$I$14/2,0,1)*SQRT($O2)</f>
        <v>4.5176212707518579E-2</v>
      </c>
      <c r="R2" s="18">
        <f>1-_xlfn.NORM.DIST(-N2/SQRT(O2),0,1,TRUE)</f>
        <v>0.53725745461143803</v>
      </c>
      <c r="T2" s="2" t="s">
        <v>42</v>
      </c>
      <c r="U2" s="6">
        <f>I8/(1-I9-I10)</f>
        <v>-2.6512377002958875E-3</v>
      </c>
      <c r="W2" s="2"/>
      <c r="X2" s="2" t="s">
        <v>43</v>
      </c>
      <c r="Y2" s="2">
        <v>1</v>
      </c>
      <c r="Z2" s="2"/>
    </row>
    <row r="3" spans="1:31" x14ac:dyDescent="0.3">
      <c r="A3" s="1">
        <v>4.462618402122886E-3</v>
      </c>
      <c r="B3" s="1">
        <f t="shared" ref="B3:B34" si="0">A2</f>
        <v>6.1824672965526579E-3</v>
      </c>
      <c r="C3" s="8"/>
      <c r="D3" s="8"/>
      <c r="E3" s="6"/>
      <c r="H3" s="2" t="s">
        <v>44</v>
      </c>
      <c r="I3" s="6">
        <v>2</v>
      </c>
      <c r="M3" s="2">
        <v>2</v>
      </c>
      <c r="N3" s="17">
        <f>$I$8+$I$9*N2+$I$10*A110</f>
        <v>-2.0507219177005659E-4</v>
      </c>
      <c r="O3" s="16">
        <f>I11*(1+I9^2)</f>
        <v>4.9360730705245482E-4</v>
      </c>
      <c r="P3" s="16">
        <f t="shared" ref="P3:P4" si="1">N3-_xlfn.NORM.INV(1-$I$14/2,0,1)*SQRT($O3)</f>
        <v>-4.3750130965823003E-2</v>
      </c>
      <c r="Q3" s="16">
        <f t="shared" ref="Q3:Q4" si="2">N3+_xlfn.NORM.INV(1-$I$14/2,0,1)*SQRT($O3)</f>
        <v>4.3339986582282886E-2</v>
      </c>
      <c r="R3" s="18">
        <f t="shared" ref="R3:R4" si="3">1-_xlfn.NORM.DIST(-N3/SQRT(O3),0,1,TRUE)</f>
        <v>0.49631769394532987</v>
      </c>
      <c r="T3" s="2" t="s">
        <v>45</v>
      </c>
      <c r="U3" s="6">
        <f>((1-I10)*I11)/((1+I10)*(1-I9-I10)*(1+I9-I10))</f>
        <v>5.0187028185786112E-4</v>
      </c>
      <c r="W3" s="2"/>
      <c r="X3" s="2" t="s">
        <v>46</v>
      </c>
      <c r="Y3" s="6">
        <f>I9/(1-I10)</f>
        <v>-0.12322675267278488</v>
      </c>
      <c r="Z3" s="2"/>
    </row>
    <row r="4" spans="1:31" x14ac:dyDescent="0.3">
      <c r="A4" s="1">
        <v>4.1532372052162348E-4</v>
      </c>
      <c r="B4" s="1">
        <f t="shared" si="0"/>
        <v>4.462618402122886E-3</v>
      </c>
      <c r="C4" s="8">
        <f>A2</f>
        <v>6.1824672965526579E-3</v>
      </c>
      <c r="D4" s="8">
        <f>$I$8+$I$9*B4+$I$10*C4</f>
        <v>-4.9270427368272619E-3</v>
      </c>
      <c r="E4" s="6">
        <f>A4-D4</f>
        <v>5.3423664573488856E-3</v>
      </c>
      <c r="F4" s="2">
        <f>((E4)^2)/ (2*$I$11)</f>
        <v>2.9485141409156812E-2</v>
      </c>
      <c r="H4" s="10" t="s">
        <v>47</v>
      </c>
      <c r="I4" s="6">
        <f>-(I2-I3)* LN(2*PI()) /2</f>
        <v>-96.488545986490635</v>
      </c>
      <c r="M4" s="2">
        <v>3</v>
      </c>
      <c r="N4" s="17">
        <f>$I$8+$I$9*N3+$I$10*N2</f>
        <v>-3.6746092739414742E-3</v>
      </c>
      <c r="O4" s="16">
        <f>I11*(1+I9^4+I9^2+I10^2 + 2*I9^2*I10)</f>
        <v>5.0107512566980759E-4</v>
      </c>
      <c r="P4" s="16">
        <f t="shared" si="1"/>
        <v>-4.754782959493796E-2</v>
      </c>
      <c r="Q4" s="16">
        <f t="shared" si="2"/>
        <v>4.0198611047055008E-2</v>
      </c>
      <c r="R4" s="18">
        <f t="shared" si="3"/>
        <v>0.4348037251331075</v>
      </c>
      <c r="T4" s="2" t="s">
        <v>48</v>
      </c>
      <c r="U4" s="6">
        <f>_xlfn.NORM.DIST(U2/SQRT(U3),0,1,TRUE)</f>
        <v>0.45289682628005351</v>
      </c>
      <c r="W4" s="2"/>
      <c r="X4" s="2" t="s">
        <v>49</v>
      </c>
      <c r="Y4" s="6">
        <f>$I$9*Y3+$I$10*Y2</f>
        <v>-0.12671995343037887</v>
      </c>
      <c r="Z4" s="2"/>
    </row>
    <row r="5" spans="1:31" x14ac:dyDescent="0.3">
      <c r="A5" s="1">
        <v>-8.9938822612816213E-3</v>
      </c>
      <c r="B5" s="1">
        <f t="shared" si="0"/>
        <v>4.1532372052162348E-4</v>
      </c>
      <c r="C5" s="8">
        <f t="shared" ref="C5:C68" si="4">A3</f>
        <v>4.462618402122886E-3</v>
      </c>
      <c r="D5" s="8">
        <f t="shared" ref="D5:D35" si="5">$I$8+$I$9*B5+$I$10*C5</f>
        <v>-4.1086257686095747E-3</v>
      </c>
      <c r="E5" s="6">
        <f>A5-D5</f>
        <v>-4.8852564926720465E-3</v>
      </c>
      <c r="F5" s="2">
        <f t="shared" ref="F5:F68" si="6">((E5)^2)/ (2*$I$11)</f>
        <v>2.4655317881227663E-2</v>
      </c>
      <c r="H5" s="10" t="s">
        <v>50</v>
      </c>
      <c r="I5" s="6">
        <f>-(105)/2 * LN(I11)</f>
        <v>400.75620331552835</v>
      </c>
      <c r="T5" s="2"/>
      <c r="U5" s="2"/>
      <c r="W5" s="2"/>
      <c r="X5" s="2" t="s">
        <v>51</v>
      </c>
      <c r="Y5" s="6">
        <f t="shared" ref="Y5:Y12" si="7">$I$9*Y4+$I$10*Y3</f>
        <v>3.5621428367764107E-2</v>
      </c>
      <c r="Z5" s="2"/>
      <c r="AE5" s="14"/>
    </row>
    <row r="6" spans="1:31" x14ac:dyDescent="0.3">
      <c r="A6" s="1">
        <v>2.2962041537351808E-2</v>
      </c>
      <c r="B6" s="1">
        <f t="shared" si="0"/>
        <v>-8.9938822612816213E-3</v>
      </c>
      <c r="C6" s="8">
        <f t="shared" si="4"/>
        <v>4.1532372052162348E-4</v>
      </c>
      <c r="D6" s="8">
        <f t="shared" si="5"/>
        <v>-2.1989031009350818E-3</v>
      </c>
      <c r="E6" s="6">
        <f t="shared" ref="E6:E68" si="8">A6-D6</f>
        <v>2.516094463828689E-2</v>
      </c>
      <c r="F6" s="2">
        <f t="shared" si="6"/>
        <v>0.65401807253502264</v>
      </c>
      <c r="H6" s="2" t="s">
        <v>52</v>
      </c>
      <c r="I6" s="6">
        <f>I4+I5-SUM(F4:F110)</f>
        <v>251.76760386604175</v>
      </c>
      <c r="T6" s="2"/>
      <c r="U6" s="2"/>
      <c r="W6" s="2"/>
      <c r="X6" s="2" t="s">
        <v>53</v>
      </c>
      <c r="Y6" s="6">
        <f t="shared" si="7"/>
        <v>1.3237424124009953E-2</v>
      </c>
      <c r="Z6" s="2"/>
      <c r="AE6" s="14"/>
    </row>
    <row r="7" spans="1:31" x14ac:dyDescent="0.3">
      <c r="A7" s="1">
        <v>2.8036389569355131E-2</v>
      </c>
      <c r="B7" s="1">
        <f t="shared" si="0"/>
        <v>2.2962041537351808E-2</v>
      </c>
      <c r="C7" s="8">
        <f t="shared" si="4"/>
        <v>-8.9938822612816213E-3</v>
      </c>
      <c r="D7" s="8">
        <f t="shared" si="5"/>
        <v>-5.3483411118043752E-3</v>
      </c>
      <c r="E7" s="6">
        <f t="shared" si="8"/>
        <v>3.3384730681159505E-2</v>
      </c>
      <c r="F7" s="2">
        <f t="shared" si="6"/>
        <v>1.1514143009058282</v>
      </c>
      <c r="K7" s="2" t="s">
        <v>54</v>
      </c>
      <c r="T7" s="2"/>
      <c r="U7" s="2"/>
      <c r="W7" s="2"/>
      <c r="X7" s="2" t="s">
        <v>55</v>
      </c>
      <c r="Y7" s="6">
        <f t="shared" si="7"/>
        <v>-6.9990414253269986E-3</v>
      </c>
      <c r="Z7" s="2"/>
      <c r="AE7" s="14"/>
    </row>
    <row r="8" spans="1:31" x14ac:dyDescent="0.3">
      <c r="A8" s="1">
        <v>-1.4485146958742819E-3</v>
      </c>
      <c r="B8" s="1">
        <f t="shared" si="0"/>
        <v>2.8036389569355131E-2</v>
      </c>
      <c r="C8" s="8">
        <f t="shared" si="4"/>
        <v>2.2962041537351808E-2</v>
      </c>
      <c r="D8" s="8">
        <f t="shared" si="5"/>
        <v>-1.0668356013276557E-2</v>
      </c>
      <c r="E8" s="6">
        <f t="shared" si="8"/>
        <v>9.2198413174022758E-3</v>
      </c>
      <c r="F8" s="2">
        <f t="shared" si="6"/>
        <v>8.7817841454987097E-2</v>
      </c>
      <c r="H8" s="7" t="s">
        <v>56</v>
      </c>
      <c r="I8" s="6">
        <v>-3.4070410192333475E-3</v>
      </c>
      <c r="K8" s="2">
        <f>I9+I10</f>
        <v>-0.28507565310085548</v>
      </c>
      <c r="T8" s="2"/>
      <c r="U8" s="2"/>
      <c r="W8" s="2"/>
      <c r="X8" s="2" t="s">
        <v>57</v>
      </c>
      <c r="Y8" s="6">
        <f t="shared" si="7"/>
        <v>-9.2067290471844554E-4</v>
      </c>
      <c r="Z8" s="2"/>
    </row>
    <row r="9" spans="1:31" x14ac:dyDescent="0.3">
      <c r="A9" s="1">
        <v>-1.0211369564398056E-2</v>
      </c>
      <c r="B9" s="1">
        <f t="shared" si="0"/>
        <v>-1.4485146958742819E-3</v>
      </c>
      <c r="C9" s="8">
        <f t="shared" si="4"/>
        <v>2.8036389569355131E-2</v>
      </c>
      <c r="D9" s="8">
        <f t="shared" si="5"/>
        <v>-7.2426674903561302E-3</v>
      </c>
      <c r="E9" s="6">
        <f t="shared" si="8"/>
        <v>-2.9687020740419255E-3</v>
      </c>
      <c r="F9" s="2">
        <f t="shared" si="6"/>
        <v>9.1047724632706394E-3</v>
      </c>
      <c r="H9" s="7" t="s">
        <v>58</v>
      </c>
      <c r="I9" s="6">
        <v>-0.14098284188269181</v>
      </c>
      <c r="K9" s="2">
        <f>I10-I9</f>
        <v>-3.1099693354718627E-3</v>
      </c>
      <c r="T9" s="2"/>
      <c r="U9" s="2"/>
      <c r="W9" s="2"/>
      <c r="X9" s="2" t="s">
        <v>59</v>
      </c>
      <c r="Y9" s="6">
        <f t="shared" si="7"/>
        <v>1.1383106373593496E-3</v>
      </c>
      <c r="Z9" s="2"/>
    </row>
    <row r="10" spans="1:31" x14ac:dyDescent="0.3">
      <c r="A10" s="1">
        <v>-7.5267021293541053E-3</v>
      </c>
      <c r="B10" s="1">
        <f t="shared" si="0"/>
        <v>-1.0211369564398056E-2</v>
      </c>
      <c r="C10" s="8">
        <f t="shared" si="4"/>
        <v>-1.4485146958742819E-3</v>
      </c>
      <c r="D10" s="8">
        <f t="shared" si="5"/>
        <v>-1.7586925639107363E-3</v>
      </c>
      <c r="E10" s="6">
        <f t="shared" si="8"/>
        <v>-5.7680095654433685E-3</v>
      </c>
      <c r="F10" s="2">
        <f t="shared" si="6"/>
        <v>3.437065503008007E-2</v>
      </c>
      <c r="H10" s="7" t="s">
        <v>60</v>
      </c>
      <c r="I10" s="6">
        <v>-0.14409281121816367</v>
      </c>
      <c r="M10" s="19"/>
      <c r="T10" s="2"/>
      <c r="U10" s="2"/>
      <c r="W10" s="2"/>
      <c r="X10" s="2" t="s">
        <v>57</v>
      </c>
      <c r="Y10" s="6">
        <f t="shared" si="7"/>
        <v>-2.7819921546945957E-5</v>
      </c>
      <c r="Z10" s="2"/>
    </row>
    <row r="11" spans="1:31" x14ac:dyDescent="0.3">
      <c r="A11" s="1">
        <v>-2.0472029282336133E-2</v>
      </c>
      <c r="B11" s="1">
        <f t="shared" si="0"/>
        <v>-7.5267021293541053E-3</v>
      </c>
      <c r="C11" s="8">
        <f t="shared" si="4"/>
        <v>-1.0211369564398056E-2</v>
      </c>
      <c r="D11" s="8">
        <f t="shared" si="5"/>
        <v>-8.7452021611078654E-4</v>
      </c>
      <c r="E11" s="6">
        <f t="shared" si="8"/>
        <v>-1.9597509066225347E-2</v>
      </c>
      <c r="F11" s="2">
        <f t="shared" si="6"/>
        <v>0.39676889058214865</v>
      </c>
      <c r="H11" s="7" t="s">
        <v>61</v>
      </c>
      <c r="I11" s="6">
        <v>4.83987493370863E-4</v>
      </c>
      <c r="J11" s="2" t="s">
        <v>62</v>
      </c>
      <c r="K11" s="2">
        <v>1E-4</v>
      </c>
      <c r="T11" s="2"/>
      <c r="U11" s="2"/>
      <c r="W11" s="2"/>
      <c r="X11" s="2" t="s">
        <v>63</v>
      </c>
      <c r="Y11" s="6">
        <f t="shared" si="7"/>
        <v>-1.6010024817600635E-4</v>
      </c>
      <c r="Z11" s="2"/>
    </row>
    <row r="12" spans="1:31" x14ac:dyDescent="0.3">
      <c r="A12" s="1">
        <v>-1.8125714828559809E-4</v>
      </c>
      <c r="B12" s="1">
        <f t="shared" si="0"/>
        <v>-2.0472029282336133E-2</v>
      </c>
      <c r="C12" s="8">
        <f t="shared" si="4"/>
        <v>-7.5267021293541053E-3</v>
      </c>
      <c r="D12" s="8">
        <f t="shared" si="5"/>
        <v>5.6370751711645566E-4</v>
      </c>
      <c r="E12" s="6">
        <f t="shared" si="8"/>
        <v>-7.4496466540205375E-4</v>
      </c>
      <c r="F12" s="2">
        <f t="shared" si="6"/>
        <v>5.733333611911513E-4</v>
      </c>
      <c r="I12"/>
      <c r="T12" s="2"/>
      <c r="U12" s="2"/>
      <c r="W12" s="2"/>
      <c r="X12" s="2" t="s">
        <v>64</v>
      </c>
      <c r="Y12" s="6">
        <f t="shared" si="7"/>
        <v>2.6580038677545826E-5</v>
      </c>
      <c r="Z12" s="2"/>
    </row>
    <row r="13" spans="1:31" x14ac:dyDescent="0.3">
      <c r="A13" s="1">
        <v>-3.4588048006226279E-3</v>
      </c>
      <c r="B13" s="1">
        <f t="shared" si="0"/>
        <v>-1.8125714828559809E-4</v>
      </c>
      <c r="C13" s="8">
        <f t="shared" si="4"/>
        <v>-2.0472029282336133E-2</v>
      </c>
      <c r="D13" s="8">
        <f t="shared" si="5"/>
        <v>-4.3161462072411217E-4</v>
      </c>
      <c r="E13" s="6">
        <f t="shared" si="8"/>
        <v>-3.0271901798985157E-3</v>
      </c>
      <c r="F13" s="2">
        <f t="shared" si="6"/>
        <v>9.4670632100941916E-3</v>
      </c>
      <c r="I13"/>
    </row>
    <row r="14" spans="1:31" x14ac:dyDescent="0.3">
      <c r="A14" s="1">
        <v>-1.5331706132346372E-2</v>
      </c>
      <c r="B14" s="1">
        <f t="shared" si="0"/>
        <v>-3.4588048006226279E-3</v>
      </c>
      <c r="C14" s="8">
        <f t="shared" si="4"/>
        <v>-1.8125714828559809E-4</v>
      </c>
      <c r="D14" s="8">
        <f t="shared" si="5"/>
        <v>-2.893291036874213E-3</v>
      </c>
      <c r="E14" s="6">
        <f t="shared" si="8"/>
        <v>-1.2438415095472159E-2</v>
      </c>
      <c r="F14" s="2">
        <f t="shared" si="6"/>
        <v>0.1598328182095374</v>
      </c>
      <c r="H14" s="2" t="s">
        <v>65</v>
      </c>
      <c r="I14" s="15">
        <v>0.05</v>
      </c>
    </row>
    <row r="15" spans="1:31" x14ac:dyDescent="0.3">
      <c r="A15" s="1">
        <v>-4.656378621715216E-2</v>
      </c>
      <c r="B15" s="1">
        <f t="shared" si="0"/>
        <v>-1.5331706132346372E-2</v>
      </c>
      <c r="C15" s="8">
        <f t="shared" si="4"/>
        <v>-3.4588048006226279E-3</v>
      </c>
      <c r="D15" s="8">
        <f t="shared" si="5"/>
        <v>-7.471446106082682E-4</v>
      </c>
      <c r="E15" s="6">
        <f t="shared" si="8"/>
        <v>-4.581664160654389E-2</v>
      </c>
      <c r="F15" s="2">
        <f t="shared" si="6"/>
        <v>2.1686145580769902</v>
      </c>
      <c r="I15"/>
    </row>
    <row r="16" spans="1:31" x14ac:dyDescent="0.3">
      <c r="A16" s="1">
        <v>1.3382473241296692E-2</v>
      </c>
      <c r="B16" s="1">
        <f t="shared" si="0"/>
        <v>-4.656378621715216E-2</v>
      </c>
      <c r="C16" s="8">
        <f t="shared" si="4"/>
        <v>-1.5331706132346372E-2</v>
      </c>
      <c r="D16" s="8">
        <f t="shared" si="5"/>
        <v>5.3668425278594273E-3</v>
      </c>
      <c r="E16" s="6">
        <f t="shared" si="8"/>
        <v>8.0156307134372634E-3</v>
      </c>
      <c r="F16" s="2">
        <f t="shared" si="6"/>
        <v>6.637602894106806E-2</v>
      </c>
      <c r="I16"/>
    </row>
    <row r="17" spans="1:11" x14ac:dyDescent="0.3">
      <c r="A17" s="1">
        <v>1.5151053003889867E-2</v>
      </c>
      <c r="B17" s="1">
        <f t="shared" si="0"/>
        <v>1.3382473241296692E-2</v>
      </c>
      <c r="C17" s="8">
        <f t="shared" si="4"/>
        <v>-4.656378621715216E-2</v>
      </c>
      <c r="D17" s="8">
        <f t="shared" si="5"/>
        <v>1.4157667287806042E-3</v>
      </c>
      <c r="E17" s="6">
        <f t="shared" si="8"/>
        <v>1.3735286275109263E-2</v>
      </c>
      <c r="F17" s="2">
        <f t="shared" si="6"/>
        <v>0.19489975634002868</v>
      </c>
      <c r="I17"/>
    </row>
    <row r="18" spans="1:11" x14ac:dyDescent="0.3">
      <c r="A18" s="1">
        <v>5.1482818187326379E-4</v>
      </c>
      <c r="B18" s="1">
        <f t="shared" si="0"/>
        <v>1.5151053003889867E-2</v>
      </c>
      <c r="C18" s="8">
        <f t="shared" si="4"/>
        <v>1.3382473241296692E-2</v>
      </c>
      <c r="D18" s="8">
        <f t="shared" si="5"/>
        <v>-7.4713977196273268E-3</v>
      </c>
      <c r="E18" s="6">
        <f t="shared" si="8"/>
        <v>7.9862259015005908E-3</v>
      </c>
      <c r="F18" s="2">
        <f t="shared" si="6"/>
        <v>6.5889930032682328E-2</v>
      </c>
      <c r="I18"/>
    </row>
    <row r="19" spans="1:11" x14ac:dyDescent="0.3">
      <c r="A19" s="1">
        <v>-2.2920721027101063E-2</v>
      </c>
      <c r="B19" s="1">
        <f t="shared" si="0"/>
        <v>5.1482818187326379E-4</v>
      </c>
      <c r="C19" s="8">
        <f t="shared" si="4"/>
        <v>1.5151053003889867E-2</v>
      </c>
      <c r="D19" s="8">
        <f t="shared" si="5"/>
        <v>-5.6627807796410332E-3</v>
      </c>
      <c r="E19" s="6">
        <f t="shared" si="8"/>
        <v>-1.7257940247460031E-2</v>
      </c>
      <c r="F19" s="2">
        <f t="shared" si="6"/>
        <v>0.30769028710900892</v>
      </c>
      <c r="I19"/>
      <c r="K19" s="10"/>
    </row>
    <row r="20" spans="1:11" x14ac:dyDescent="0.3">
      <c r="A20" s="1">
        <v>1.1799869233762235E-2</v>
      </c>
      <c r="B20" s="1">
        <f t="shared" si="0"/>
        <v>-2.2920721027101063E-2</v>
      </c>
      <c r="C20" s="8">
        <f t="shared" si="4"/>
        <v>5.1482818187326379E-4</v>
      </c>
      <c r="D20" s="8">
        <f t="shared" si="5"/>
        <v>-2.4979567085272377E-4</v>
      </c>
      <c r="E20" s="6">
        <f t="shared" si="8"/>
        <v>1.2049664904614957E-2</v>
      </c>
      <c r="F20" s="2">
        <f t="shared" si="6"/>
        <v>0.14999811596603788</v>
      </c>
    </row>
    <row r="21" spans="1:11" x14ac:dyDescent="0.3">
      <c r="A21" s="1">
        <v>6.612712700315191E-3</v>
      </c>
      <c r="B21" s="1">
        <f t="shared" si="0"/>
        <v>1.1799869233762235E-2</v>
      </c>
      <c r="C21" s="8">
        <f t="shared" si="4"/>
        <v>-2.2920721027101063E-2</v>
      </c>
      <c r="D21" s="8">
        <f t="shared" si="5"/>
        <v>-1.7679089897110209E-3</v>
      </c>
      <c r="E21" s="6">
        <f t="shared" si="8"/>
        <v>8.3806216900262111E-3</v>
      </c>
      <c r="F21" s="2">
        <f t="shared" si="6"/>
        <v>7.2558507061998873E-2</v>
      </c>
    </row>
    <row r="22" spans="1:11" x14ac:dyDescent="0.3">
      <c r="A22" s="1">
        <v>1.2793884864139881E-2</v>
      </c>
      <c r="B22" s="1">
        <f t="shared" si="0"/>
        <v>6.612712700315191E-3</v>
      </c>
      <c r="C22" s="8">
        <f t="shared" si="4"/>
        <v>1.1799869233762235E-2</v>
      </c>
      <c r="D22" s="8">
        <f t="shared" si="5"/>
        <v>-6.0395963781770708E-3</v>
      </c>
      <c r="E22" s="6">
        <f t="shared" si="8"/>
        <v>1.883348124231695E-2</v>
      </c>
      <c r="F22" s="2">
        <f t="shared" si="6"/>
        <v>0.36643510479403024</v>
      </c>
    </row>
    <row r="23" spans="1:11" x14ac:dyDescent="0.3">
      <c r="A23" s="1">
        <v>-7.9188127009602195E-3</v>
      </c>
      <c r="B23" s="1">
        <f t="shared" si="0"/>
        <v>1.2793884864139881E-2</v>
      </c>
      <c r="C23" s="8">
        <f t="shared" si="4"/>
        <v>6.612712700315191E-3</v>
      </c>
      <c r="D23" s="8">
        <f t="shared" si="5"/>
        <v>-6.1636036288662144E-3</v>
      </c>
      <c r="E23" s="6">
        <f t="shared" si="8"/>
        <v>-1.755209072094005E-3</v>
      </c>
      <c r="F23" s="2">
        <f t="shared" si="6"/>
        <v>3.182684396764379E-3</v>
      </c>
    </row>
    <row r="24" spans="1:11" x14ac:dyDescent="0.3">
      <c r="A24" s="1">
        <v>-2.7477396061668029E-2</v>
      </c>
      <c r="B24" s="1">
        <f t="shared" si="0"/>
        <v>-7.9188127009602195E-3</v>
      </c>
      <c r="C24" s="8">
        <f t="shared" si="4"/>
        <v>1.2793884864139881E-2</v>
      </c>
      <c r="D24" s="8">
        <f t="shared" si="5"/>
        <v>-4.1341311367906509E-3</v>
      </c>
      <c r="E24" s="6">
        <f t="shared" si="8"/>
        <v>-2.3343264924877379E-2</v>
      </c>
      <c r="F24" s="2">
        <f t="shared" si="6"/>
        <v>0.5629360518779627</v>
      </c>
    </row>
    <row r="25" spans="1:11" x14ac:dyDescent="0.3">
      <c r="A25" s="1">
        <v>-1.3575110397984996E-3</v>
      </c>
      <c r="B25" s="1">
        <f t="shared" si="0"/>
        <v>-2.7477396061668029E-2</v>
      </c>
      <c r="C25" s="8">
        <f t="shared" si="4"/>
        <v>-7.9188127009602195E-3</v>
      </c>
      <c r="D25" s="8">
        <f t="shared" si="5"/>
        <v>1.6078443486683524E-3</v>
      </c>
      <c r="E25" s="6">
        <f t="shared" si="8"/>
        <v>-2.9653553884668518E-3</v>
      </c>
      <c r="F25" s="2">
        <f t="shared" si="6"/>
        <v>9.0842559987096231E-3</v>
      </c>
    </row>
    <row r="26" spans="1:11" x14ac:dyDescent="0.3">
      <c r="A26" s="1">
        <v>1.9833145295887904E-2</v>
      </c>
      <c r="B26" s="1">
        <f t="shared" si="0"/>
        <v>-1.3575110397984996E-3</v>
      </c>
      <c r="C26" s="8">
        <f t="shared" si="4"/>
        <v>-2.7477396061668029E-2</v>
      </c>
      <c r="D26" s="8">
        <f t="shared" si="5"/>
        <v>7.4363998852521821E-4</v>
      </c>
      <c r="E26" s="6">
        <f t="shared" si="8"/>
        <v>1.9089505307362687E-2</v>
      </c>
      <c r="F26" s="2">
        <f t="shared" si="6"/>
        <v>0.37646552635255176</v>
      </c>
    </row>
    <row r="27" spans="1:11" x14ac:dyDescent="0.3">
      <c r="A27" s="1">
        <v>9.3506707975504217E-3</v>
      </c>
      <c r="B27" s="1">
        <f t="shared" si="0"/>
        <v>1.9833145295887904E-2</v>
      </c>
      <c r="C27" s="8">
        <f t="shared" si="4"/>
        <v>-1.3575110397984996E-3</v>
      </c>
      <c r="D27" s="8">
        <f t="shared" si="5"/>
        <v>-6.0075666245357068E-3</v>
      </c>
      <c r="E27" s="6">
        <f t="shared" si="8"/>
        <v>1.5358237422086128E-2</v>
      </c>
      <c r="F27" s="2">
        <f t="shared" si="6"/>
        <v>0.24367928917992052</v>
      </c>
    </row>
    <row r="28" spans="1:11" x14ac:dyDescent="0.3">
      <c r="A28" s="1">
        <v>-1.0213298523325132E-2</v>
      </c>
      <c r="B28" s="1">
        <f t="shared" si="0"/>
        <v>9.3506707975504217E-3</v>
      </c>
      <c r="C28" s="8">
        <f t="shared" si="4"/>
        <v>1.9833145295887904E-2</v>
      </c>
      <c r="D28" s="8">
        <f t="shared" si="5"/>
        <v>-7.5831388227642887E-3</v>
      </c>
      <c r="E28" s="6">
        <f t="shared" si="8"/>
        <v>-2.6301597005608437E-3</v>
      </c>
      <c r="F28" s="2">
        <f t="shared" si="6"/>
        <v>7.1466103413890085E-3</v>
      </c>
    </row>
    <row r="29" spans="1:11" x14ac:dyDescent="0.3">
      <c r="A29" s="1">
        <v>-4.5648738566212805E-3</v>
      </c>
      <c r="B29" s="1">
        <f t="shared" si="0"/>
        <v>-1.0213298523325132E-2</v>
      </c>
      <c r="C29" s="8">
        <f t="shared" si="4"/>
        <v>9.3506707975504217E-3</v>
      </c>
      <c r="D29" s="8">
        <f t="shared" si="5"/>
        <v>-3.3145056104132995E-3</v>
      </c>
      <c r="E29" s="6">
        <f t="shared" si="8"/>
        <v>-1.2503682462079811E-3</v>
      </c>
      <c r="F29" s="2">
        <f t="shared" si="6"/>
        <v>1.6151458173395677E-3</v>
      </c>
    </row>
    <row r="30" spans="1:11" x14ac:dyDescent="0.3">
      <c r="A30" s="1">
        <v>-1.8942494305017977E-2</v>
      </c>
      <c r="B30" s="1">
        <f t="shared" si="0"/>
        <v>-4.5648738566212805E-3</v>
      </c>
      <c r="C30" s="8">
        <f t="shared" si="4"/>
        <v>-1.0213298523325132E-2</v>
      </c>
      <c r="D30" s="8">
        <f t="shared" si="5"/>
        <v>-1.2918092340546377E-3</v>
      </c>
      <c r="E30" s="6">
        <f t="shared" si="8"/>
        <v>-1.7650685070963339E-2</v>
      </c>
      <c r="F30" s="2">
        <f t="shared" si="6"/>
        <v>0.32185406414582757</v>
      </c>
    </row>
    <row r="31" spans="1:11" x14ac:dyDescent="0.3">
      <c r="A31" s="1">
        <v>2.1920177494472875E-2</v>
      </c>
      <c r="B31" s="1">
        <f t="shared" si="0"/>
        <v>-1.8942494305017977E-2</v>
      </c>
      <c r="C31" s="8">
        <f t="shared" si="4"/>
        <v>-4.5648738566212805E-3</v>
      </c>
      <c r="D31" s="8">
        <f t="shared" si="5"/>
        <v>-7.8708832908347252E-5</v>
      </c>
      <c r="E31" s="6">
        <f t="shared" si="8"/>
        <v>2.1998886327381222E-2</v>
      </c>
      <c r="F31" s="2">
        <f t="shared" si="6"/>
        <v>0.49996229889581612</v>
      </c>
    </row>
    <row r="32" spans="1:11" x14ac:dyDescent="0.3">
      <c r="A32" s="1">
        <v>1.3702875903593374E-3</v>
      </c>
      <c r="B32" s="1">
        <f t="shared" si="0"/>
        <v>2.1920177494472875E-2</v>
      </c>
      <c r="C32" s="8">
        <f t="shared" si="4"/>
        <v>-1.8942494305017977E-2</v>
      </c>
      <c r="D32" s="8">
        <f t="shared" si="5"/>
        <v>-3.7679326810830609E-3</v>
      </c>
      <c r="E32" s="6">
        <f t="shared" si="8"/>
        <v>5.1382202714423987E-3</v>
      </c>
      <c r="F32" s="2">
        <f t="shared" si="6"/>
        <v>2.7274782839926799E-2</v>
      </c>
    </row>
    <row r="33" spans="1:6" x14ac:dyDescent="0.3">
      <c r="A33" s="1">
        <v>-1.6917962310008368E-2</v>
      </c>
      <c r="B33" s="1">
        <f t="shared" si="0"/>
        <v>1.3702875903593374E-3</v>
      </c>
      <c r="C33" s="8">
        <f t="shared" si="4"/>
        <v>2.1920177494472875E-2</v>
      </c>
      <c r="D33" s="8">
        <f t="shared" si="5"/>
        <v>-6.7587680554985121E-3</v>
      </c>
      <c r="E33" s="6">
        <f t="shared" si="8"/>
        <v>-1.0159194254509856E-2</v>
      </c>
      <c r="F33" s="2">
        <f t="shared" si="6"/>
        <v>0.10662385837910524</v>
      </c>
    </row>
    <row r="34" spans="1:6" x14ac:dyDescent="0.3">
      <c r="A34" s="1">
        <v>-1.4971719076703981E-2</v>
      </c>
      <c r="B34" s="1">
        <f t="shared" si="0"/>
        <v>-1.6917962310008368E-2</v>
      </c>
      <c r="C34" s="8">
        <f t="shared" si="4"/>
        <v>1.3702875903593374E-3</v>
      </c>
      <c r="D34" s="8">
        <f t="shared" si="5"/>
        <v>-1.2193472049763388E-3</v>
      </c>
      <c r="E34" s="6">
        <f t="shared" si="8"/>
        <v>-1.3752371871727643E-2</v>
      </c>
      <c r="F34" s="2">
        <f t="shared" si="6"/>
        <v>0.19538493730597661</v>
      </c>
    </row>
    <row r="35" spans="1:6" x14ac:dyDescent="0.3">
      <c r="A35" s="1">
        <v>-3.5015837555854454E-2</v>
      </c>
      <c r="B35" s="1">
        <f t="shared" ref="B35:B66" si="9">A34</f>
        <v>-1.4971719076703981E-2</v>
      </c>
      <c r="C35" s="8">
        <f t="shared" si="4"/>
        <v>-1.6917962310008368E-2</v>
      </c>
      <c r="D35" s="8">
        <f t="shared" si="5"/>
        <v>1.1414712334017344E-3</v>
      </c>
      <c r="E35" s="6">
        <f t="shared" si="8"/>
        <v>-3.6157308789256187E-2</v>
      </c>
      <c r="F35" s="2">
        <f t="shared" si="6"/>
        <v>1.3506040928622143</v>
      </c>
    </row>
    <row r="36" spans="1:6" x14ac:dyDescent="0.3">
      <c r="A36" s="1">
        <v>1.5239431408189575E-2</v>
      </c>
      <c r="B36" s="1">
        <f t="shared" si="9"/>
        <v>-3.5015837555854454E-2</v>
      </c>
      <c r="C36" s="8">
        <f t="shared" si="4"/>
        <v>-1.4971719076703981E-2</v>
      </c>
      <c r="D36" s="8">
        <f t="shared" ref="D36:D67" si="10">$I$8+$I$9*B36+$I$10*C36</f>
        <v>3.6869083608245885E-3</v>
      </c>
      <c r="E36" s="6">
        <f t="shared" si="8"/>
        <v>1.1552523047364987E-2</v>
      </c>
      <c r="F36" s="2">
        <f t="shared" si="6"/>
        <v>0.1378762784037818</v>
      </c>
    </row>
    <row r="37" spans="1:6" x14ac:dyDescent="0.3">
      <c r="A37" s="1">
        <v>-3.0106372549497117E-2</v>
      </c>
      <c r="B37" s="1">
        <f t="shared" si="9"/>
        <v>1.5239431408189575E-2</v>
      </c>
      <c r="C37" s="8">
        <f t="shared" si="4"/>
        <v>-3.5015837555854454E-2</v>
      </c>
      <c r="D37" s="8">
        <f t="shared" si="10"/>
        <v>-5.1000889725464401E-4</v>
      </c>
      <c r="E37" s="6">
        <f t="shared" si="8"/>
        <v>-2.9596363652242472E-2</v>
      </c>
      <c r="F37" s="2">
        <f t="shared" si="6"/>
        <v>0.90492497578297226</v>
      </c>
    </row>
    <row r="38" spans="1:6" x14ac:dyDescent="0.3">
      <c r="A38" s="1">
        <v>-0.11502016748465382</v>
      </c>
      <c r="B38" s="1">
        <f t="shared" si="9"/>
        <v>-3.0106372549497117E-2</v>
      </c>
      <c r="C38" s="8">
        <f t="shared" si="4"/>
        <v>1.5239431408189575E-2</v>
      </c>
      <c r="D38" s="8">
        <f t="shared" si="10"/>
        <v>-1.3584515713985969E-3</v>
      </c>
      <c r="E38" s="6">
        <f t="shared" si="8"/>
        <v>-0.11366171591325523</v>
      </c>
      <c r="F38" s="2">
        <f t="shared" si="6"/>
        <v>13.346404443602184</v>
      </c>
    </row>
    <row r="39" spans="1:6" x14ac:dyDescent="0.3">
      <c r="A39" s="1">
        <v>8.0994983742242524E-2</v>
      </c>
      <c r="B39" s="1">
        <f t="shared" si="9"/>
        <v>-0.11502016748465382</v>
      </c>
      <c r="C39" s="8">
        <f t="shared" si="4"/>
        <v>-3.0106372549497117E-2</v>
      </c>
      <c r="D39" s="8">
        <f t="shared" si="10"/>
        <v>1.7146940922814727E-2</v>
      </c>
      <c r="E39" s="6">
        <f t="shared" si="8"/>
        <v>6.3848042819427797E-2</v>
      </c>
      <c r="F39" s="2">
        <f t="shared" si="6"/>
        <v>4.2114441258379252</v>
      </c>
    </row>
    <row r="40" spans="1:6" x14ac:dyDescent="0.3">
      <c r="A40" s="1">
        <v>1.4657775286877854E-2</v>
      </c>
      <c r="B40" s="1">
        <f t="shared" si="9"/>
        <v>8.0994983742242524E-2</v>
      </c>
      <c r="C40" s="8">
        <f t="shared" si="4"/>
        <v>-0.11502016748465382</v>
      </c>
      <c r="D40" s="8">
        <f t="shared" si="10"/>
        <v>1.747635274190671E-3</v>
      </c>
      <c r="E40" s="6">
        <f t="shared" si="8"/>
        <v>1.2910140012687183E-2</v>
      </c>
      <c r="F40" s="2">
        <f t="shared" si="6"/>
        <v>0.17218597322252688</v>
      </c>
    </row>
    <row r="41" spans="1:6" x14ac:dyDescent="0.3">
      <c r="A41" s="1">
        <v>-1.6572555481786828E-2</v>
      </c>
      <c r="B41" s="1">
        <f t="shared" si="9"/>
        <v>1.4657775286877854E-2</v>
      </c>
      <c r="C41" s="8">
        <f t="shared" si="4"/>
        <v>8.0994983742242524E-2</v>
      </c>
      <c r="D41" s="8">
        <f t="shared" si="10"/>
        <v>-1.7144330736844463E-2</v>
      </c>
      <c r="E41" s="6">
        <f t="shared" si="8"/>
        <v>5.717752550576348E-4</v>
      </c>
      <c r="F41" s="2">
        <f t="shared" si="6"/>
        <v>3.3774317185269743E-4</v>
      </c>
    </row>
    <row r="42" spans="1:6" x14ac:dyDescent="0.3">
      <c r="A42" s="1">
        <v>3.8374479400262541E-2</v>
      </c>
      <c r="B42" s="1">
        <f t="shared" si="9"/>
        <v>-1.6572555481786828E-2</v>
      </c>
      <c r="C42" s="8">
        <f t="shared" si="4"/>
        <v>1.4657775286877854E-2</v>
      </c>
      <c r="D42" s="8">
        <f t="shared" si="10"/>
        <v>-3.1826750974428132E-3</v>
      </c>
      <c r="E42" s="6">
        <f t="shared" si="8"/>
        <v>4.1557154497705355E-2</v>
      </c>
      <c r="F42" s="2">
        <f t="shared" si="6"/>
        <v>1.7841340051144812</v>
      </c>
    </row>
    <row r="43" spans="1:6" x14ac:dyDescent="0.3">
      <c r="A43" s="1">
        <v>-1.6973310043301812E-2</v>
      </c>
      <c r="B43" s="1">
        <f t="shared" si="9"/>
        <v>3.8374479400262541E-2</v>
      </c>
      <c r="C43" s="8">
        <f t="shared" si="4"/>
        <v>-1.6572555481786828E-2</v>
      </c>
      <c r="D43" s="8">
        <f t="shared" si="10"/>
        <v>-6.4291980724115218E-3</v>
      </c>
      <c r="E43" s="6">
        <f t="shared" si="8"/>
        <v>-1.054411197089029E-2</v>
      </c>
      <c r="F43" s="2">
        <f t="shared" si="6"/>
        <v>0.11485658077685058</v>
      </c>
    </row>
    <row r="44" spans="1:6" x14ac:dyDescent="0.3">
      <c r="A44" s="1">
        <v>-4.6241860281677184E-2</v>
      </c>
      <c r="B44" s="1">
        <f t="shared" si="9"/>
        <v>-1.6973310043301812E-2</v>
      </c>
      <c r="C44" s="8">
        <f t="shared" si="4"/>
        <v>3.8374479400262541E-2</v>
      </c>
      <c r="D44" s="8">
        <f t="shared" si="10"/>
        <v>-6.5435821489899636E-3</v>
      </c>
      <c r="E44" s="6">
        <f t="shared" si="8"/>
        <v>-3.9698278132687219E-2</v>
      </c>
      <c r="F44" s="2">
        <f t="shared" si="6"/>
        <v>1.6280929861679228</v>
      </c>
    </row>
    <row r="45" spans="1:6" x14ac:dyDescent="0.3">
      <c r="A45" s="1">
        <v>8.4023858956866586E-3</v>
      </c>
      <c r="B45" s="1">
        <f t="shared" si="9"/>
        <v>-4.6241860281677184E-2</v>
      </c>
      <c r="C45" s="8">
        <f t="shared" si="4"/>
        <v>-1.6973310043301812E-2</v>
      </c>
      <c r="D45" s="8">
        <f t="shared" si="10"/>
        <v>5.5579998170367222E-3</v>
      </c>
      <c r="E45" s="6">
        <f t="shared" si="8"/>
        <v>2.8443860786499364E-3</v>
      </c>
      <c r="F45" s="2">
        <f t="shared" si="6"/>
        <v>8.358203750337476E-3</v>
      </c>
    </row>
    <row r="46" spans="1:6" x14ac:dyDescent="0.3">
      <c r="A46" s="1">
        <v>-1.396833569489795E-2</v>
      </c>
      <c r="B46" s="1">
        <f t="shared" si="9"/>
        <v>8.4023858956866586E-3</v>
      </c>
      <c r="C46" s="8">
        <f t="shared" si="4"/>
        <v>-4.6241860281677184E-2</v>
      </c>
      <c r="D46" s="8">
        <f t="shared" si="10"/>
        <v>2.0714863825421117E-3</v>
      </c>
      <c r="E46" s="6">
        <f t="shared" si="8"/>
        <v>-1.6039822077440063E-2</v>
      </c>
      <c r="F46" s="2">
        <f t="shared" si="6"/>
        <v>0.26578774844373099</v>
      </c>
    </row>
    <row r="47" spans="1:6" x14ac:dyDescent="0.3">
      <c r="A47" s="1">
        <v>3.3573947052215891E-2</v>
      </c>
      <c r="B47" s="1">
        <f t="shared" si="9"/>
        <v>-1.396833569489795E-2</v>
      </c>
      <c r="C47" s="8">
        <f t="shared" si="4"/>
        <v>8.4023858956866586E-3</v>
      </c>
      <c r="D47" s="8">
        <f t="shared" si="10"/>
        <v>-2.6484687612445285E-3</v>
      </c>
      <c r="E47" s="6">
        <f t="shared" si="8"/>
        <v>3.6222415813460418E-2</v>
      </c>
      <c r="F47" s="2">
        <f t="shared" si="6"/>
        <v>1.355472429902066</v>
      </c>
    </row>
    <row r="48" spans="1:6" x14ac:dyDescent="0.3">
      <c r="A48" s="1">
        <v>-1.5113404102073467E-3</v>
      </c>
      <c r="B48" s="1">
        <f t="shared" si="9"/>
        <v>3.3573947052215891E-2</v>
      </c>
      <c r="C48" s="8">
        <f t="shared" si="4"/>
        <v>-1.396833569489795E-2</v>
      </c>
      <c r="D48" s="8">
        <f t="shared" si="10"/>
        <v>-6.1276547295569007E-3</v>
      </c>
      <c r="E48" s="6">
        <f t="shared" si="8"/>
        <v>4.6163143193495536E-3</v>
      </c>
      <c r="F48" s="2">
        <f t="shared" si="6"/>
        <v>2.201540141730722E-2</v>
      </c>
    </row>
    <row r="49" spans="1:6" x14ac:dyDescent="0.3">
      <c r="A49" s="1">
        <v>3.158293952718072E-2</v>
      </c>
      <c r="B49" s="1">
        <f t="shared" si="9"/>
        <v>-1.5113404102073467E-3</v>
      </c>
      <c r="C49" s="8">
        <f t="shared" si="4"/>
        <v>3.3573947052215891E-2</v>
      </c>
      <c r="D49" s="8">
        <f t="shared" si="10"/>
        <v>-8.0317323675937295E-3</v>
      </c>
      <c r="E49" s="6">
        <f t="shared" si="8"/>
        <v>3.9614671894774453E-2</v>
      </c>
      <c r="F49" s="2">
        <f t="shared" si="6"/>
        <v>1.621242543273856</v>
      </c>
    </row>
    <row r="50" spans="1:6" x14ac:dyDescent="0.3">
      <c r="A50" s="1">
        <v>-3.063428114804579E-2</v>
      </c>
      <c r="B50" s="1">
        <f t="shared" si="9"/>
        <v>3.158293952718072E-2</v>
      </c>
      <c r="C50" s="8">
        <f t="shared" si="4"/>
        <v>-1.5113404102073467E-3</v>
      </c>
      <c r="D50" s="8">
        <f t="shared" si="10"/>
        <v>-7.6419203003700951E-3</v>
      </c>
      <c r="E50" s="6">
        <f t="shared" si="8"/>
        <v>-2.2992360847675697E-2</v>
      </c>
      <c r="F50" s="2">
        <f t="shared" si="6"/>
        <v>0.54613875832597691</v>
      </c>
    </row>
    <row r="51" spans="1:6" x14ac:dyDescent="0.3">
      <c r="A51" s="1">
        <v>1.3992932372128628E-2</v>
      </c>
      <c r="B51" s="1">
        <f t="shared" si="9"/>
        <v>-3.063428114804579E-2</v>
      </c>
      <c r="C51" s="8">
        <f t="shared" si="4"/>
        <v>3.158293952718072E-2</v>
      </c>
      <c r="D51" s="8">
        <f t="shared" si="10"/>
        <v>-3.639007546953212E-3</v>
      </c>
      <c r="E51" s="6">
        <f t="shared" si="8"/>
        <v>1.7631939919081841E-2</v>
      </c>
      <c r="F51" s="2">
        <f t="shared" si="6"/>
        <v>0.32117080458512082</v>
      </c>
    </row>
    <row r="52" spans="1:6" x14ac:dyDescent="0.3">
      <c r="A52" s="1">
        <v>2.9627782859256067E-2</v>
      </c>
      <c r="B52" s="1">
        <f t="shared" si="9"/>
        <v>1.3992932372128628E-2</v>
      </c>
      <c r="C52" s="8">
        <f t="shared" si="4"/>
        <v>-3.063428114804579E-2</v>
      </c>
      <c r="D52" s="8">
        <f t="shared" si="10"/>
        <v>-9.6562470105884465E-4</v>
      </c>
      <c r="E52" s="6">
        <f t="shared" si="8"/>
        <v>3.0593407560314912E-2</v>
      </c>
      <c r="F52" s="2">
        <f t="shared" si="6"/>
        <v>0.96692228515328826</v>
      </c>
    </row>
    <row r="53" spans="1:6" x14ac:dyDescent="0.3">
      <c r="A53" s="1">
        <v>3.1168300846664793E-2</v>
      </c>
      <c r="B53" s="1">
        <f t="shared" si="9"/>
        <v>2.9627782859256067E-2</v>
      </c>
      <c r="C53" s="8">
        <f t="shared" si="4"/>
        <v>1.3992932372128628E-2</v>
      </c>
      <c r="D53" s="8">
        <f t="shared" si="10"/>
        <v>-9.6003310081002324E-3</v>
      </c>
      <c r="E53" s="6">
        <f t="shared" si="8"/>
        <v>4.0768631854765022E-2</v>
      </c>
      <c r="F53" s="2">
        <f t="shared" si="6"/>
        <v>1.7170705504530108</v>
      </c>
    </row>
    <row r="54" spans="1:6" x14ac:dyDescent="0.3">
      <c r="A54" s="1">
        <v>-1.2323361977112295E-2</v>
      </c>
      <c r="B54" s="1">
        <f t="shared" si="9"/>
        <v>3.1168300846664793E-2</v>
      </c>
      <c r="C54" s="8">
        <f t="shared" si="4"/>
        <v>2.9627782859256067E-2</v>
      </c>
      <c r="D54" s="8">
        <f t="shared" si="10"/>
        <v>-1.207038717160239E-2</v>
      </c>
      <c r="E54" s="6">
        <f t="shared" si="8"/>
        <v>-2.5297480550990487E-4</v>
      </c>
      <c r="F54" s="2">
        <f t="shared" si="6"/>
        <v>6.6113539191947732E-5</v>
      </c>
    </row>
    <row r="55" spans="1:6" x14ac:dyDescent="0.3">
      <c r="A55" s="1">
        <v>-2.9673470715366767E-3</v>
      </c>
      <c r="B55" s="1">
        <f t="shared" si="9"/>
        <v>-1.2323361977112295E-2</v>
      </c>
      <c r="C55" s="8">
        <f t="shared" si="4"/>
        <v>3.1168300846664793E-2</v>
      </c>
      <c r="D55" s="8">
        <f t="shared" si="10"/>
        <v>-6.1607865160403499E-3</v>
      </c>
      <c r="E55" s="6">
        <f t="shared" si="8"/>
        <v>3.1934394445036732E-3</v>
      </c>
      <c r="F55" s="2">
        <f t="shared" si="6"/>
        <v>1.05354535245165E-2</v>
      </c>
    </row>
    <row r="56" spans="1:6" x14ac:dyDescent="0.3">
      <c r="A56" s="1">
        <v>1.3515258303113488E-2</v>
      </c>
      <c r="B56" s="1">
        <f t="shared" si="9"/>
        <v>-2.9673470715366767E-3</v>
      </c>
      <c r="C56" s="8">
        <f t="shared" si="4"/>
        <v>-1.2323361977112295E-2</v>
      </c>
      <c r="D56" s="8">
        <f t="shared" si="10"/>
        <v>-1.2129881252946858E-3</v>
      </c>
      <c r="E56" s="6">
        <f t="shared" si="8"/>
        <v>1.4728246428408174E-2</v>
      </c>
      <c r="F56" s="2">
        <f t="shared" si="6"/>
        <v>0.22409798375688483</v>
      </c>
    </row>
    <row r="57" spans="1:6" x14ac:dyDescent="0.3">
      <c r="A57" s="1">
        <v>-3.111461044623248E-4</v>
      </c>
      <c r="B57" s="1">
        <f t="shared" si="9"/>
        <v>1.3515258303113488E-2</v>
      </c>
      <c r="C57" s="8">
        <f t="shared" si="4"/>
        <v>-2.9673470715366767E-3</v>
      </c>
      <c r="D57" s="8">
        <f t="shared" si="10"/>
        <v>-4.8848871621872281E-3</v>
      </c>
      <c r="E57" s="6">
        <f t="shared" si="8"/>
        <v>4.5737410577249031E-3</v>
      </c>
      <c r="F57" s="2">
        <f t="shared" si="6"/>
        <v>2.1611206435750731E-2</v>
      </c>
    </row>
    <row r="58" spans="1:6" x14ac:dyDescent="0.3">
      <c r="A58" s="1">
        <v>8.4232572890857501E-3</v>
      </c>
      <c r="B58" s="1">
        <f t="shared" si="9"/>
        <v>-3.111461044623248E-4</v>
      </c>
      <c r="C58" s="8">
        <f t="shared" si="4"/>
        <v>1.3515258303113488E-2</v>
      </c>
      <c r="D58" s="8">
        <f t="shared" si="10"/>
        <v>-5.3106263204207704E-3</v>
      </c>
      <c r="E58" s="6">
        <f t="shared" si="8"/>
        <v>1.373388360950652E-2</v>
      </c>
      <c r="F58" s="2">
        <f t="shared" si="6"/>
        <v>0.19485995153075078</v>
      </c>
    </row>
    <row r="59" spans="1:6" x14ac:dyDescent="0.3">
      <c r="A59" s="1">
        <v>-1.091591751034509E-2</v>
      </c>
      <c r="B59" s="1">
        <f t="shared" si="9"/>
        <v>8.4232572890857501E-3</v>
      </c>
      <c r="C59" s="8">
        <f t="shared" si="4"/>
        <v>-3.111461044623248E-4</v>
      </c>
      <c r="D59" s="8">
        <f t="shared" si="10"/>
        <v>-4.5497418528661982E-3</v>
      </c>
      <c r="E59" s="6">
        <f t="shared" si="8"/>
        <v>-6.3661756574788916E-3</v>
      </c>
      <c r="F59" s="2">
        <f t="shared" si="6"/>
        <v>4.1869049362832853E-2</v>
      </c>
    </row>
    <row r="60" spans="1:6" x14ac:dyDescent="0.3">
      <c r="A60" s="1">
        <v>3.5576983287093039E-3</v>
      </c>
      <c r="B60" s="1">
        <f t="shared" si="9"/>
        <v>-1.091591751034509E-2</v>
      </c>
      <c r="C60" s="8">
        <f t="shared" si="4"/>
        <v>8.4232572890857501E-3</v>
      </c>
      <c r="D60" s="8">
        <f t="shared" si="10"/>
        <v>-3.081814769266113E-3</v>
      </c>
      <c r="E60" s="6">
        <f t="shared" si="8"/>
        <v>6.6395130979754174E-3</v>
      </c>
      <c r="F60" s="2">
        <f t="shared" si="6"/>
        <v>4.5541604671598131E-2</v>
      </c>
    </row>
    <row r="61" spans="1:6" x14ac:dyDescent="0.3">
      <c r="A61" s="1">
        <v>2.2559098370259743E-2</v>
      </c>
      <c r="B61" s="1">
        <f t="shared" si="9"/>
        <v>3.5576983287093039E-3</v>
      </c>
      <c r="C61" s="8">
        <f t="shared" si="4"/>
        <v>-1.091591751034509E-2</v>
      </c>
      <c r="D61" s="8">
        <f t="shared" si="10"/>
        <v>-2.3357101990848861E-3</v>
      </c>
      <c r="E61" s="6">
        <f t="shared" si="8"/>
        <v>2.4894808569344628E-2</v>
      </c>
      <c r="F61" s="2">
        <f t="shared" si="6"/>
        <v>0.64025569068725963</v>
      </c>
    </row>
    <row r="62" spans="1:6" x14ac:dyDescent="0.3">
      <c r="A62" s="1">
        <v>3.6772182861519631E-3</v>
      </c>
      <c r="B62" s="1">
        <f t="shared" si="9"/>
        <v>2.2559098370259743E-2</v>
      </c>
      <c r="C62" s="8">
        <f t="shared" si="4"/>
        <v>3.5576983287093039E-3</v>
      </c>
      <c r="D62" s="8">
        <f t="shared" si="10"/>
        <v>-7.1001255714336544E-3</v>
      </c>
      <c r="E62" s="6">
        <f t="shared" si="8"/>
        <v>1.0777343857585617E-2</v>
      </c>
      <c r="F62" s="2">
        <f t="shared" si="6"/>
        <v>0.1199939484134932</v>
      </c>
    </row>
    <row r="63" spans="1:6" x14ac:dyDescent="0.3">
      <c r="A63" s="1">
        <v>-2.157014119005975E-2</v>
      </c>
      <c r="B63" s="1">
        <f t="shared" si="9"/>
        <v>3.6772182861519631E-3</v>
      </c>
      <c r="C63" s="8">
        <f t="shared" si="4"/>
        <v>2.2559098370259743E-2</v>
      </c>
      <c r="D63" s="8">
        <f t="shared" si="10"/>
        <v>-7.176069606155874E-3</v>
      </c>
      <c r="E63" s="6">
        <f t="shared" si="8"/>
        <v>-1.4394071583903876E-2</v>
      </c>
      <c r="F63" s="2">
        <f t="shared" si="6"/>
        <v>0.21404406064247924</v>
      </c>
    </row>
    <row r="64" spans="1:6" x14ac:dyDescent="0.3">
      <c r="A64" s="1">
        <v>1.4779717410937317E-2</v>
      </c>
      <c r="B64" s="1">
        <f t="shared" si="9"/>
        <v>-2.157014119005975E-2</v>
      </c>
      <c r="C64" s="8">
        <f t="shared" si="4"/>
        <v>3.6772182861519631E-3</v>
      </c>
      <c r="D64" s="8">
        <f t="shared" si="10"/>
        <v>-8.9588193476229021E-4</v>
      </c>
      <c r="E64" s="6">
        <f t="shared" si="8"/>
        <v>1.5675599345699606E-2</v>
      </c>
      <c r="F64" s="2">
        <f t="shared" si="6"/>
        <v>0.25385409562495426</v>
      </c>
    </row>
    <row r="65" spans="1:6" x14ac:dyDescent="0.3">
      <c r="A65" s="1">
        <v>-3.2480480135294036E-3</v>
      </c>
      <c r="B65" s="1">
        <f t="shared" si="9"/>
        <v>1.4779717410937317E-2</v>
      </c>
      <c r="C65" s="8">
        <f t="shared" si="4"/>
        <v>-2.157014119005975E-2</v>
      </c>
      <c r="D65" s="8">
        <f t="shared" si="10"/>
        <v>-2.3826252996019745E-3</v>
      </c>
      <c r="E65" s="6">
        <f t="shared" si="8"/>
        <v>-8.6542271392742913E-4</v>
      </c>
      <c r="F65" s="2">
        <f t="shared" si="6"/>
        <v>7.737353589089721E-4</v>
      </c>
    </row>
    <row r="66" spans="1:6" x14ac:dyDescent="0.3">
      <c r="A66" s="1">
        <v>-1.6023588220961671E-2</v>
      </c>
      <c r="B66" s="1">
        <f t="shared" si="9"/>
        <v>-3.2480480135294036E-3</v>
      </c>
      <c r="C66" s="8">
        <f t="shared" si="4"/>
        <v>1.4779717410937317E-2</v>
      </c>
      <c r="D66" s="8">
        <f t="shared" si="10"/>
        <v>-5.0787730104665373E-3</v>
      </c>
      <c r="E66" s="6">
        <f t="shared" si="8"/>
        <v>-1.0944815210495134E-2</v>
      </c>
      <c r="F66" s="2">
        <f t="shared" si="6"/>
        <v>0.12375214404568866</v>
      </c>
    </row>
    <row r="67" spans="1:6" x14ac:dyDescent="0.3">
      <c r="A67" s="1">
        <v>-7.4067235146407992E-3</v>
      </c>
      <c r="B67" s="1">
        <f t="shared" ref="B67:B98" si="11">A66</f>
        <v>-1.6023588220961671E-2</v>
      </c>
      <c r="C67" s="8">
        <f t="shared" si="4"/>
        <v>-3.2480480135294036E-3</v>
      </c>
      <c r="D67" s="8">
        <f t="shared" si="10"/>
        <v>-6.799696454431218E-4</v>
      </c>
      <c r="E67" s="6">
        <f t="shared" si="8"/>
        <v>-6.7267538691976776E-3</v>
      </c>
      <c r="F67" s="2">
        <f t="shared" si="6"/>
        <v>4.6746267451680833E-2</v>
      </c>
    </row>
    <row r="68" spans="1:6" x14ac:dyDescent="0.3">
      <c r="A68" s="1">
        <v>-1.4907850564389136E-2</v>
      </c>
      <c r="B68" s="1">
        <f t="shared" si="11"/>
        <v>-7.4067235146407992E-3</v>
      </c>
      <c r="C68" s="8">
        <f t="shared" si="4"/>
        <v>-1.6023588220961671E-2</v>
      </c>
      <c r="D68" s="8">
        <f t="shared" ref="D68:D99" si="12">$I$8+$I$9*B68+$I$10*C68</f>
        <v>-5.3936216539307406E-5</v>
      </c>
      <c r="E68" s="6">
        <f t="shared" si="8"/>
        <v>-1.4853914347849828E-2</v>
      </c>
      <c r="F68" s="2">
        <f t="shared" si="6"/>
        <v>0.22793850510119595</v>
      </c>
    </row>
    <row r="69" spans="1:6" x14ac:dyDescent="0.3">
      <c r="A69" s="1">
        <v>4.0560403541146338E-3</v>
      </c>
      <c r="B69" s="1">
        <f t="shared" si="11"/>
        <v>-1.4907850564389136E-2</v>
      </c>
      <c r="C69" s="8">
        <f t="shared" ref="C69:C110" si="13">A67</f>
        <v>-7.4067235146407992E-3</v>
      </c>
      <c r="D69" s="8">
        <f t="shared" si="12"/>
        <v>-2.3803426716300594E-4</v>
      </c>
      <c r="E69" s="6">
        <f t="shared" ref="E69:E110" si="14">A69-D69</f>
        <v>4.2940746212776397E-3</v>
      </c>
      <c r="F69" s="2">
        <f t="shared" ref="F69:F110" si="15">((E69)^2)/ (2*$I$11)</f>
        <v>1.9049125344827323E-2</v>
      </c>
    </row>
    <row r="70" spans="1:6" x14ac:dyDescent="0.3">
      <c r="A70" s="1">
        <v>1.7391660022175265E-2</v>
      </c>
      <c r="B70" s="1">
        <f t="shared" si="11"/>
        <v>4.0560403541146338E-3</v>
      </c>
      <c r="C70" s="8">
        <f t="shared" si="13"/>
        <v>-1.4907850564389136E-2</v>
      </c>
      <c r="D70" s="8">
        <f t="shared" si="12"/>
        <v>-1.83075901810419E-3</v>
      </c>
      <c r="E70" s="6">
        <f t="shared" si="14"/>
        <v>1.9222419040279454E-2</v>
      </c>
      <c r="F70" s="2">
        <f t="shared" si="15"/>
        <v>0.38172617972688178</v>
      </c>
    </row>
    <row r="71" spans="1:6" x14ac:dyDescent="0.3">
      <c r="A71" s="1">
        <v>-1.3113199864731065E-2</v>
      </c>
      <c r="B71" s="1">
        <f t="shared" si="11"/>
        <v>1.7391660022175265E-2</v>
      </c>
      <c r="C71" s="8">
        <f t="shared" si="13"/>
        <v>4.0560403541146338E-3</v>
      </c>
      <c r="D71" s="8">
        <f t="shared" si="12"/>
        <v>-6.4434129312559091E-3</v>
      </c>
      <c r="E71" s="6">
        <f t="shared" si="14"/>
        <v>-6.6697869334751561E-3</v>
      </c>
      <c r="F71" s="2">
        <f t="shared" si="15"/>
        <v>4.59578587745322E-2</v>
      </c>
    </row>
    <row r="72" spans="1:6" x14ac:dyDescent="0.3">
      <c r="A72" s="1">
        <v>4.9114865793835512E-3</v>
      </c>
      <c r="B72" s="1">
        <f t="shared" si="11"/>
        <v>-1.3113199864731065E-2</v>
      </c>
      <c r="C72" s="8">
        <f t="shared" si="13"/>
        <v>1.7391660022175265E-2</v>
      </c>
      <c r="D72" s="8">
        <f t="shared" si="12"/>
        <v>-4.0643180204736166E-3</v>
      </c>
      <c r="E72" s="6">
        <f t="shared" si="14"/>
        <v>8.9758045998571678E-3</v>
      </c>
      <c r="F72" s="2">
        <f t="shared" si="15"/>
        <v>8.3230526943681632E-2</v>
      </c>
    </row>
    <row r="73" spans="1:6" x14ac:dyDescent="0.3">
      <c r="A73" s="1">
        <v>-5.3127112753693327E-3</v>
      </c>
      <c r="B73" s="1">
        <f t="shared" si="11"/>
        <v>4.9114865793835512E-3</v>
      </c>
      <c r="C73" s="8">
        <f t="shared" si="13"/>
        <v>-1.3113199864731065E-2</v>
      </c>
      <c r="D73" s="8">
        <f t="shared" si="12"/>
        <v>-2.2099585224887985E-3</v>
      </c>
      <c r="E73" s="6">
        <f t="shared" si="14"/>
        <v>-3.1027527528805342E-3</v>
      </c>
      <c r="F73" s="2">
        <f t="shared" si="15"/>
        <v>9.9455820422727718E-3</v>
      </c>
    </row>
    <row r="74" spans="1:6" x14ac:dyDescent="0.3">
      <c r="A74" s="1">
        <v>-1.1846287575402419E-2</v>
      </c>
      <c r="B74" s="1">
        <f t="shared" si="11"/>
        <v>-5.3127112753693327E-3</v>
      </c>
      <c r="C74" s="8">
        <f t="shared" si="13"/>
        <v>4.9114865793835512E-3</v>
      </c>
      <c r="D74" s="8">
        <f t="shared" si="12"/>
        <v>-3.3657497940132175E-3</v>
      </c>
      <c r="E74" s="6">
        <f t="shared" si="14"/>
        <v>-8.4805377813892014E-3</v>
      </c>
      <c r="F74" s="2">
        <f t="shared" si="15"/>
        <v>7.4298945785423648E-2</v>
      </c>
    </row>
    <row r="75" spans="1:6" x14ac:dyDescent="0.3">
      <c r="A75" s="1">
        <v>-1.0062446278702496E-2</v>
      </c>
      <c r="B75" s="1">
        <f t="shared" si="11"/>
        <v>-1.1846287575402419E-2</v>
      </c>
      <c r="C75" s="8">
        <f t="shared" si="13"/>
        <v>-5.3127112753693327E-3</v>
      </c>
      <c r="D75" s="8">
        <f t="shared" si="12"/>
        <v>-9.7139422823508913E-4</v>
      </c>
      <c r="E75" s="6">
        <f t="shared" si="14"/>
        <v>-9.0910520504674068E-3</v>
      </c>
      <c r="F75" s="2">
        <f t="shared" si="15"/>
        <v>8.5381573404602326E-2</v>
      </c>
    </row>
    <row r="76" spans="1:6" x14ac:dyDescent="0.3">
      <c r="A76" s="1">
        <v>-9.3461604579627815E-3</v>
      </c>
      <c r="B76" s="1">
        <f t="shared" si="11"/>
        <v>-1.0062446278702496E-2</v>
      </c>
      <c r="C76" s="8">
        <f t="shared" si="13"/>
        <v>-1.1846287575402419E-2</v>
      </c>
      <c r="D76" s="8">
        <f t="shared" si="12"/>
        <v>-2.8144386733141452E-4</v>
      </c>
      <c r="E76" s="6">
        <f t="shared" si="14"/>
        <v>-9.0647165906313672E-3</v>
      </c>
      <c r="F76" s="2">
        <f t="shared" si="15"/>
        <v>8.4887613826731892E-2</v>
      </c>
    </row>
    <row r="77" spans="1:6" x14ac:dyDescent="0.3">
      <c r="A77" s="1">
        <v>-2.771243314450459E-2</v>
      </c>
      <c r="B77" s="1">
        <f t="shared" si="11"/>
        <v>-9.3461604579627815E-3</v>
      </c>
      <c r="C77" s="8">
        <f t="shared" si="13"/>
        <v>-1.0062446278702496E-2</v>
      </c>
      <c r="D77" s="8">
        <f t="shared" si="12"/>
        <v>-6.3946658514812201E-4</v>
      </c>
      <c r="E77" s="6">
        <f t="shared" si="14"/>
        <v>-2.7072966559356468E-2</v>
      </c>
      <c r="F77" s="2">
        <f t="shared" si="15"/>
        <v>0.75719468825447789</v>
      </c>
    </row>
    <row r="78" spans="1:6" x14ac:dyDescent="0.3">
      <c r="A78" s="1">
        <v>-2.7621552263994858E-2</v>
      </c>
      <c r="B78" s="1">
        <f t="shared" si="11"/>
        <v>-2.771243314450459E-2</v>
      </c>
      <c r="C78" s="8">
        <f t="shared" si="13"/>
        <v>-9.3461604579627815E-3</v>
      </c>
      <c r="D78" s="8">
        <f t="shared" si="12"/>
        <v>1.8466510954469083E-3</v>
      </c>
      <c r="E78" s="6">
        <f t="shared" si="14"/>
        <v>-2.9468203359441766E-2</v>
      </c>
      <c r="F78" s="2">
        <f t="shared" si="15"/>
        <v>0.89710480242514146</v>
      </c>
    </row>
    <row r="79" spans="1:6" x14ac:dyDescent="0.3">
      <c r="A79" s="1">
        <v>-1.2101793129502686E-2</v>
      </c>
      <c r="B79" s="1">
        <f t="shared" si="11"/>
        <v>-2.7621552263994858E-2</v>
      </c>
      <c r="C79" s="8">
        <f t="shared" si="13"/>
        <v>-2.771243314450459E-2</v>
      </c>
      <c r="D79" s="8">
        <f t="shared" si="12"/>
        <v>4.4802863136430299E-3</v>
      </c>
      <c r="E79" s="6">
        <f t="shared" si="14"/>
        <v>-1.6582079443145714E-2</v>
      </c>
      <c r="F79" s="2">
        <f t="shared" si="15"/>
        <v>0.28406246279601605</v>
      </c>
    </row>
    <row r="80" spans="1:6" x14ac:dyDescent="0.3">
      <c r="A80" s="1">
        <v>-7.07494583715443E-3</v>
      </c>
      <c r="B80" s="1">
        <f t="shared" si="11"/>
        <v>-1.2101793129502686E-2</v>
      </c>
      <c r="C80" s="8">
        <f t="shared" si="13"/>
        <v>-2.7621552263994858E-2</v>
      </c>
      <c r="D80" s="8">
        <f t="shared" si="12"/>
        <v>2.2791712839688276E-3</v>
      </c>
      <c r="E80" s="6">
        <f t="shared" si="14"/>
        <v>-9.3541171211232576E-3</v>
      </c>
      <c r="F80" s="2">
        <f t="shared" si="15"/>
        <v>9.0394388609380233E-2</v>
      </c>
    </row>
    <row r="81" spans="1:6" x14ac:dyDescent="0.3">
      <c r="A81" s="1">
        <v>7.0603664237087031E-4</v>
      </c>
      <c r="B81" s="1">
        <f t="shared" si="11"/>
        <v>-7.07494583715443E-3</v>
      </c>
      <c r="C81" s="8">
        <f t="shared" si="13"/>
        <v>-1.2101793129502686E-2</v>
      </c>
      <c r="D81" s="8">
        <f t="shared" si="12"/>
        <v>-6.6581365613449495E-4</v>
      </c>
      <c r="E81" s="6">
        <f t="shared" si="14"/>
        <v>1.3718502985053654E-3</v>
      </c>
      <c r="F81" s="2">
        <f t="shared" si="15"/>
        <v>1.9442374723381217E-3</v>
      </c>
    </row>
    <row r="82" spans="1:6" x14ac:dyDescent="0.3">
      <c r="A82" s="1">
        <v>-1.4054857363314976E-2</v>
      </c>
      <c r="B82" s="1">
        <f t="shared" si="11"/>
        <v>7.0603664237087031E-4</v>
      </c>
      <c r="C82" s="8">
        <f t="shared" si="13"/>
        <v>-7.07494583715443E-3</v>
      </c>
      <c r="D82" s="8">
        <f t="shared" si="12"/>
        <v>-2.4871312366562801E-3</v>
      </c>
      <c r="E82" s="6">
        <f t="shared" si="14"/>
        <v>-1.1567726126658696E-2</v>
      </c>
      <c r="F82" s="2">
        <f t="shared" si="15"/>
        <v>0.13823940656958922</v>
      </c>
    </row>
    <row r="83" spans="1:6" x14ac:dyDescent="0.3">
      <c r="A83" s="1">
        <v>-1.8505920324844553E-2</v>
      </c>
      <c r="B83" s="1">
        <f t="shared" si="11"/>
        <v>-1.4054857363314976E-2</v>
      </c>
      <c r="C83" s="8">
        <f t="shared" si="13"/>
        <v>7.0603664237087031E-4</v>
      </c>
      <c r="D83" s="8">
        <f t="shared" si="12"/>
        <v>-1.5272820905195773E-3</v>
      </c>
      <c r="E83" s="6">
        <f t="shared" si="14"/>
        <v>-1.6978638234324977E-2</v>
      </c>
      <c r="F83" s="2">
        <f t="shared" si="15"/>
        <v>0.29781157596069058</v>
      </c>
    </row>
    <row r="84" spans="1:6" x14ac:dyDescent="0.3">
      <c r="A84" s="1">
        <v>-6.3190929100701192E-3</v>
      </c>
      <c r="B84" s="1">
        <f t="shared" si="11"/>
        <v>-1.8505920324844553E-2</v>
      </c>
      <c r="C84" s="8">
        <f t="shared" si="13"/>
        <v>-1.4054857363314976E-2</v>
      </c>
      <c r="D84" s="8">
        <f t="shared" si="12"/>
        <v>1.2271801285682672E-3</v>
      </c>
      <c r="E84" s="6">
        <f t="shared" si="14"/>
        <v>-7.5462730386383868E-3</v>
      </c>
      <c r="F84" s="2">
        <f t="shared" si="15"/>
        <v>5.8830277180369914E-2</v>
      </c>
    </row>
    <row r="85" spans="1:6" x14ac:dyDescent="0.3">
      <c r="A85" s="1">
        <v>-2.6108049785049416E-2</v>
      </c>
      <c r="B85" s="1">
        <f t="shared" si="11"/>
        <v>-6.3190929100701192E-3</v>
      </c>
      <c r="C85" s="8">
        <f t="shared" si="13"/>
        <v>-1.8505920324844553E-2</v>
      </c>
      <c r="D85" s="8">
        <f t="shared" si="12"/>
        <v>1.5041274113531105E-4</v>
      </c>
      <c r="E85" s="6">
        <f t="shared" si="14"/>
        <v>-2.6258462526184728E-2</v>
      </c>
      <c r="F85" s="2">
        <f t="shared" si="15"/>
        <v>0.71231887567671326</v>
      </c>
    </row>
    <row r="86" spans="1:6" x14ac:dyDescent="0.3">
      <c r="A86" s="1">
        <v>-4.0215350911148391E-4</v>
      </c>
      <c r="B86" s="1">
        <f t="shared" si="11"/>
        <v>-2.6108049785049416E-2</v>
      </c>
      <c r="C86" s="8">
        <f t="shared" si="13"/>
        <v>-6.3190929100701192E-3</v>
      </c>
      <c r="D86" s="8">
        <f t="shared" si="12"/>
        <v>1.1842818972384902E-3</v>
      </c>
      <c r="E86" s="6">
        <f t="shared" si="14"/>
        <v>-1.5864354063499743E-3</v>
      </c>
      <c r="F86" s="2">
        <f t="shared" si="15"/>
        <v>2.6000437335601642E-3</v>
      </c>
    </row>
    <row r="87" spans="1:6" x14ac:dyDescent="0.3">
      <c r="A87" s="1">
        <v>-2.1647354374838886E-2</v>
      </c>
      <c r="B87" s="1">
        <f t="shared" si="11"/>
        <v>-4.0215350911148391E-4</v>
      </c>
      <c r="C87" s="8">
        <f t="shared" si="13"/>
        <v>-2.6108049785049416E-2</v>
      </c>
      <c r="D87" s="8">
        <f t="shared" si="12"/>
        <v>4.1163801430583059E-4</v>
      </c>
      <c r="E87" s="6">
        <f t="shared" si="14"/>
        <v>-2.2058992389144716E-2</v>
      </c>
      <c r="F87" s="2">
        <f t="shared" si="15"/>
        <v>0.50269805717012639</v>
      </c>
    </row>
    <row r="88" spans="1:6" x14ac:dyDescent="0.3">
      <c r="A88" s="1">
        <v>-4.7003202669176538E-3</v>
      </c>
      <c r="B88" s="1">
        <f t="shared" si="11"/>
        <v>-2.1647354374838886E-2</v>
      </c>
      <c r="C88" s="8">
        <f t="shared" si="13"/>
        <v>-4.0215350911148391E-4</v>
      </c>
      <c r="D88" s="8">
        <f t="shared" si="12"/>
        <v>-2.9718805055771685E-4</v>
      </c>
      <c r="E88" s="6">
        <f t="shared" si="14"/>
        <v>-4.4031322163599366E-3</v>
      </c>
      <c r="F88" s="2">
        <f t="shared" si="15"/>
        <v>2.0029002381566435E-2</v>
      </c>
    </row>
    <row r="89" spans="1:6" x14ac:dyDescent="0.3">
      <c r="A89" s="1">
        <v>-6.8076492675115524E-4</v>
      </c>
      <c r="B89" s="1">
        <f t="shared" si="11"/>
        <v>-4.7003202669176538E-3</v>
      </c>
      <c r="C89" s="8">
        <f t="shared" si="13"/>
        <v>-2.1647354374838886E-2</v>
      </c>
      <c r="D89" s="8">
        <f t="shared" si="12"/>
        <v>3.7485163706186446E-4</v>
      </c>
      <c r="E89" s="6">
        <f t="shared" si="14"/>
        <v>-1.0556165638130198E-3</v>
      </c>
      <c r="F89" s="2">
        <f t="shared" si="15"/>
        <v>1.1511933108388579E-3</v>
      </c>
    </row>
    <row r="90" spans="1:6" x14ac:dyDescent="0.3">
      <c r="A90" s="1">
        <v>-1.5514918112054682E-2</v>
      </c>
      <c r="B90" s="1">
        <f t="shared" si="11"/>
        <v>-6.8076492675115524E-4</v>
      </c>
      <c r="C90" s="8">
        <f t="shared" si="13"/>
        <v>-4.7003202669176538E-3</v>
      </c>
      <c r="D90" s="8">
        <f t="shared" si="12"/>
        <v>-2.6337824843200332E-3</v>
      </c>
      <c r="E90" s="6">
        <f t="shared" si="14"/>
        <v>-1.2881135627734649E-2</v>
      </c>
      <c r="F90" s="2">
        <f t="shared" si="15"/>
        <v>0.17141316390685463</v>
      </c>
    </row>
    <row r="91" spans="1:6" x14ac:dyDescent="0.3">
      <c r="A91" s="1">
        <v>4.2820917534727845E-2</v>
      </c>
      <c r="B91" s="1">
        <f t="shared" si="11"/>
        <v>-1.5514918112054682E-2</v>
      </c>
      <c r="C91" s="8">
        <f t="shared" si="13"/>
        <v>-6.8076492675115524E-4</v>
      </c>
      <c r="D91" s="8">
        <f t="shared" si="12"/>
        <v>-1.1216104401443297E-3</v>
      </c>
      <c r="E91" s="6">
        <f t="shared" si="14"/>
        <v>4.3942527974872178E-2</v>
      </c>
      <c r="F91" s="2">
        <f t="shared" si="15"/>
        <v>1.9948302293658717</v>
      </c>
    </row>
    <row r="92" spans="1:6" x14ac:dyDescent="0.3">
      <c r="A92" s="1">
        <v>-1.9331893714266387E-3</v>
      </c>
      <c r="B92" s="1">
        <f t="shared" si="11"/>
        <v>4.2820917534727845E-2</v>
      </c>
      <c r="C92" s="8">
        <f t="shared" si="13"/>
        <v>-1.5514918112054682E-2</v>
      </c>
      <c r="D92" s="8">
        <f t="shared" si="12"/>
        <v>-7.2084674987181047E-3</v>
      </c>
      <c r="E92" s="6">
        <f t="shared" si="14"/>
        <v>5.275278127291466E-3</v>
      </c>
      <c r="F92" s="2">
        <f t="shared" si="15"/>
        <v>2.8749254579348901E-2</v>
      </c>
    </row>
    <row r="93" spans="1:6" x14ac:dyDescent="0.3">
      <c r="A93" s="1">
        <v>2.1517795949443478E-2</v>
      </c>
      <c r="B93" s="1">
        <f t="shared" si="11"/>
        <v>-1.9331893714266387E-3</v>
      </c>
      <c r="C93" s="8">
        <f t="shared" si="13"/>
        <v>4.2820917534727845E-2</v>
      </c>
      <c r="D93" s="8">
        <f t="shared" si="12"/>
        <v>-9.3046808742722996E-3</v>
      </c>
      <c r="E93" s="6">
        <f t="shared" si="14"/>
        <v>3.0822476823715778E-2</v>
      </c>
      <c r="F93" s="2">
        <f t="shared" si="15"/>
        <v>0.98145622620513107</v>
      </c>
    </row>
    <row r="94" spans="1:6" x14ac:dyDescent="0.3">
      <c r="A94" s="1">
        <v>6.2738916563659201E-4</v>
      </c>
      <c r="B94" s="1">
        <f t="shared" si="11"/>
        <v>2.1517795949443478E-2</v>
      </c>
      <c r="C94" s="8">
        <f t="shared" si="13"/>
        <v>-1.9331893714266387E-3</v>
      </c>
      <c r="D94" s="8">
        <f t="shared" si="12"/>
        <v>-6.1621223520918244E-3</v>
      </c>
      <c r="E94" s="6">
        <f t="shared" si="14"/>
        <v>6.7895115177284164E-3</v>
      </c>
      <c r="F94" s="2">
        <f t="shared" si="15"/>
        <v>4.7622580418667883E-2</v>
      </c>
    </row>
    <row r="95" spans="1:6" x14ac:dyDescent="0.3">
      <c r="A95" s="1">
        <v>-1.4130718514909397E-2</v>
      </c>
      <c r="B95" s="1">
        <f t="shared" si="11"/>
        <v>6.2738916563659201E-4</v>
      </c>
      <c r="C95" s="8">
        <f t="shared" si="13"/>
        <v>2.1517795949443478E-2</v>
      </c>
      <c r="D95" s="8">
        <f t="shared" si="12"/>
        <v>-6.5960518363453319E-3</v>
      </c>
      <c r="E95" s="6">
        <f t="shared" si="14"/>
        <v>-7.5346666785640649E-3</v>
      </c>
      <c r="F95" s="2">
        <f t="shared" si="15"/>
        <v>5.8649451416259858E-2</v>
      </c>
    </row>
    <row r="96" spans="1:6" x14ac:dyDescent="0.3">
      <c r="A96" s="1">
        <v>3.5177864130025382E-3</v>
      </c>
      <c r="B96" s="1">
        <f t="shared" si="11"/>
        <v>-1.4130718514909397E-2</v>
      </c>
      <c r="C96" s="8">
        <f t="shared" si="13"/>
        <v>6.2738916563659201E-4</v>
      </c>
      <c r="D96" s="8">
        <f t="shared" si="12"/>
        <v>-1.5052544337614453E-3</v>
      </c>
      <c r="E96" s="6">
        <f t="shared" si="14"/>
        <v>5.023040846763983E-3</v>
      </c>
      <c r="F96" s="2">
        <f t="shared" si="15"/>
        <v>2.6065693529115461E-2</v>
      </c>
    </row>
    <row r="97" spans="1:6" x14ac:dyDescent="0.3">
      <c r="A97" s="1">
        <v>2.9956405324236664E-2</v>
      </c>
      <c r="B97" s="1">
        <f t="shared" si="11"/>
        <v>3.5177864130025382E-3</v>
      </c>
      <c r="C97" s="8">
        <f t="shared" si="13"/>
        <v>-1.4130718514909397E-2</v>
      </c>
      <c r="D97" s="8">
        <f t="shared" si="12"/>
        <v>-1.8668535895289161E-3</v>
      </c>
      <c r="E97" s="6">
        <f t="shared" si="14"/>
        <v>3.1823258913765577E-2</v>
      </c>
      <c r="F97" s="2">
        <f t="shared" si="15"/>
        <v>1.0462251832575225</v>
      </c>
    </row>
    <row r="98" spans="1:6" x14ac:dyDescent="0.3">
      <c r="A98" s="1">
        <v>-1.4194900955062392E-2</v>
      </c>
      <c r="B98" s="1">
        <f t="shared" si="11"/>
        <v>2.9956405324236664E-2</v>
      </c>
      <c r="C98" s="8">
        <f t="shared" si="13"/>
        <v>3.5177864130025382E-3</v>
      </c>
      <c r="D98" s="8">
        <f t="shared" si="12"/>
        <v>-8.1372679079486279E-3</v>
      </c>
      <c r="E98" s="6">
        <f t="shared" si="14"/>
        <v>-6.057633047113764E-3</v>
      </c>
      <c r="F98" s="2">
        <f t="shared" si="15"/>
        <v>3.7908952851150153E-2</v>
      </c>
    </row>
    <row r="99" spans="1:6" x14ac:dyDescent="0.3">
      <c r="A99" s="1">
        <v>-7.983277605464292E-3</v>
      </c>
      <c r="B99" s="1">
        <f t="shared" ref="B99:B110" si="16">A98</f>
        <v>-1.4194900955062392E-2</v>
      </c>
      <c r="C99" s="8">
        <f t="shared" si="13"/>
        <v>2.9956405324236664E-2</v>
      </c>
      <c r="D99" s="8">
        <f t="shared" si="12"/>
        <v>-5.7223061995053427E-3</v>
      </c>
      <c r="E99" s="6">
        <f t="shared" si="14"/>
        <v>-2.2609714059589493E-3</v>
      </c>
      <c r="F99" s="2">
        <f t="shared" si="15"/>
        <v>5.2811196245590216E-3</v>
      </c>
    </row>
    <row r="100" spans="1:6" x14ac:dyDescent="0.3">
      <c r="A100" s="1">
        <v>1.6795893222117012E-2</v>
      </c>
      <c r="B100" s="1">
        <f t="shared" si="16"/>
        <v>-7.983277605464292E-3</v>
      </c>
      <c r="C100" s="8">
        <f t="shared" si="13"/>
        <v>-1.4194900955062392E-2</v>
      </c>
      <c r="D100" s="8">
        <f t="shared" ref="D100:D110" si="17">$I$8+$I$9*B100+$I$10*C100</f>
        <v>-2.3615267129820398E-4</v>
      </c>
      <c r="E100" s="6">
        <f t="shared" si="14"/>
        <v>1.7032045893415216E-2</v>
      </c>
      <c r="F100" s="2">
        <f t="shared" si="15"/>
        <v>0.29968810278028779</v>
      </c>
    </row>
    <row r="101" spans="1:6" x14ac:dyDescent="0.3">
      <c r="A101" s="1">
        <v>-8.9782855032163808E-3</v>
      </c>
      <c r="B101" s="1">
        <f t="shared" si="16"/>
        <v>1.6795893222117012E-2</v>
      </c>
      <c r="C101" s="8">
        <f t="shared" si="13"/>
        <v>-7.983277605464292E-3</v>
      </c>
      <c r="D101" s="8">
        <f t="shared" si="17"/>
        <v>-4.6246408647392847E-3</v>
      </c>
      <c r="E101" s="6">
        <f t="shared" si="14"/>
        <v>-4.3536446384770961E-3</v>
      </c>
      <c r="F101" s="2">
        <f t="shared" si="15"/>
        <v>1.9581313461354666E-2</v>
      </c>
    </row>
    <row r="102" spans="1:6" x14ac:dyDescent="0.3">
      <c r="A102" s="1">
        <v>2.6121050809678623E-2</v>
      </c>
      <c r="B102" s="1">
        <f t="shared" si="16"/>
        <v>-8.9782855032163808E-3</v>
      </c>
      <c r="C102" s="8">
        <f t="shared" si="13"/>
        <v>1.6795893222117012E-2</v>
      </c>
      <c r="D102" s="8">
        <f t="shared" si="17"/>
        <v>-4.5614242850506703E-3</v>
      </c>
      <c r="E102" s="6">
        <f t="shared" si="14"/>
        <v>3.0682475094729295E-2</v>
      </c>
      <c r="F102" s="2">
        <f t="shared" si="15"/>
        <v>0.97256054219701704</v>
      </c>
    </row>
    <row r="103" spans="1:6" x14ac:dyDescent="0.3">
      <c r="A103" s="1">
        <v>-8.4668197265507141E-3</v>
      </c>
      <c r="B103" s="1">
        <f t="shared" si="16"/>
        <v>2.6121050809678623E-2</v>
      </c>
      <c r="C103" s="8">
        <f t="shared" si="13"/>
        <v>-8.9782855032163808E-3</v>
      </c>
      <c r="D103" s="8">
        <f t="shared" si="17"/>
        <v>-5.7959545972662936E-3</v>
      </c>
      <c r="E103" s="6">
        <f t="shared" si="14"/>
        <v>-2.6708651292844205E-3</v>
      </c>
      <c r="F103" s="2">
        <f t="shared" si="15"/>
        <v>7.3695298293186603E-3</v>
      </c>
    </row>
    <row r="104" spans="1:6" x14ac:dyDescent="0.3">
      <c r="A104" s="1">
        <v>-1.1109103472323792E-2</v>
      </c>
      <c r="B104" s="1">
        <f t="shared" si="16"/>
        <v>-8.4668197265507141E-3</v>
      </c>
      <c r="C104" s="8">
        <f t="shared" si="13"/>
        <v>2.6121050809678623E-2</v>
      </c>
      <c r="D104" s="8">
        <f t="shared" si="17"/>
        <v>-5.9772203556148762E-3</v>
      </c>
      <c r="E104" s="6">
        <f t="shared" si="14"/>
        <v>-5.1318831167089154E-3</v>
      </c>
      <c r="F104" s="2">
        <f t="shared" si="15"/>
        <v>2.7207546356349199E-2</v>
      </c>
    </row>
    <row r="105" spans="1:6" x14ac:dyDescent="0.3">
      <c r="A105" s="1">
        <v>6.1209108240245415E-3</v>
      </c>
      <c r="B105" s="1">
        <f t="shared" si="16"/>
        <v>-1.1109103472323792E-2</v>
      </c>
      <c r="C105" s="8">
        <f t="shared" si="13"/>
        <v>-8.4668197265507141E-3</v>
      </c>
      <c r="D105" s="8">
        <f t="shared" si="17"/>
        <v>-6.2084018446016383E-4</v>
      </c>
      <c r="E105" s="6">
        <f t="shared" si="14"/>
        <v>6.7417510084847049E-3</v>
      </c>
      <c r="F105" s="2">
        <f t="shared" si="15"/>
        <v>4.6954939211184162E-2</v>
      </c>
    </row>
    <row r="106" spans="1:6" x14ac:dyDescent="0.3">
      <c r="A106" s="1">
        <v>-7.5374971981373891E-3</v>
      </c>
      <c r="B106" s="1">
        <f t="shared" si="16"/>
        <v>6.1209108240245415E-3</v>
      </c>
      <c r="C106" s="8">
        <f t="shared" si="13"/>
        <v>-1.1109103472323792E-2</v>
      </c>
      <c r="D106" s="8">
        <f t="shared" si="17"/>
        <v>-2.6692424726742579E-3</v>
      </c>
      <c r="E106" s="6">
        <f t="shared" si="14"/>
        <v>-4.8682547254631312E-3</v>
      </c>
      <c r="F106" s="2">
        <f t="shared" si="15"/>
        <v>2.448400464537798E-2</v>
      </c>
    </row>
    <row r="107" spans="1:6" x14ac:dyDescent="0.3">
      <c r="A107" s="1">
        <v>4.7032340518382556E-3</v>
      </c>
      <c r="B107" s="1">
        <f t="shared" si="16"/>
        <v>-7.5374971981373891E-3</v>
      </c>
      <c r="C107" s="8">
        <f t="shared" si="13"/>
        <v>6.1209108240245415E-3</v>
      </c>
      <c r="D107" s="8">
        <f t="shared" si="17"/>
        <v>-3.2263624914064945E-3</v>
      </c>
      <c r="E107" s="6">
        <f t="shared" si="14"/>
        <v>7.9295965432447501E-3</v>
      </c>
      <c r="F107" s="2">
        <f t="shared" si="15"/>
        <v>6.4958808026943635E-2</v>
      </c>
    </row>
    <row r="108" spans="1:6" x14ac:dyDescent="0.3">
      <c r="A108" s="1">
        <v>-1.975559711537285E-2</v>
      </c>
      <c r="B108" s="1">
        <f t="shared" si="16"/>
        <v>4.7032340518382556E-3</v>
      </c>
      <c r="C108" s="8">
        <f t="shared" si="13"/>
        <v>-7.5374971981373891E-3</v>
      </c>
      <c r="D108" s="8">
        <f t="shared" si="17"/>
        <v>-2.9840171610723042E-3</v>
      </c>
      <c r="E108" s="6">
        <f t="shared" si="14"/>
        <v>-1.6771579954300547E-2</v>
      </c>
      <c r="F108" s="2">
        <f t="shared" si="15"/>
        <v>0.29059211035021126</v>
      </c>
    </row>
    <row r="109" spans="1:6" x14ac:dyDescent="0.3">
      <c r="A109" s="1">
        <v>-1.4212524715989411E-2</v>
      </c>
      <c r="B109" s="1">
        <f t="shared" si="16"/>
        <v>-1.975559711537285E-2</v>
      </c>
      <c r="C109" s="8">
        <f t="shared" si="13"/>
        <v>4.7032340518382556E-3</v>
      </c>
      <c r="D109" s="8">
        <f t="shared" si="17"/>
        <v>-1.2995430111649433E-3</v>
      </c>
      <c r="E109" s="6">
        <f t="shared" si="14"/>
        <v>-1.2912981704824467E-2</v>
      </c>
      <c r="F109" s="2">
        <f t="shared" si="15"/>
        <v>0.17226178237353784</v>
      </c>
    </row>
    <row r="110" spans="1:6" x14ac:dyDescent="0.3">
      <c r="A110" s="1">
        <v>-2.4234725923036361E-2</v>
      </c>
      <c r="B110" s="1">
        <f t="shared" si="16"/>
        <v>-1.4212524715989411E-2</v>
      </c>
      <c r="C110" s="8">
        <f t="shared" si="13"/>
        <v>-1.975559711537285E-2</v>
      </c>
      <c r="D110" s="8">
        <f t="shared" si="17"/>
        <v>1.4433206312023557E-3</v>
      </c>
      <c r="E110" s="6">
        <f t="shared" si="14"/>
        <v>-2.5678046554238717E-2</v>
      </c>
      <c r="F110" s="2">
        <f t="shared" si="15"/>
        <v>0.68117676992988363</v>
      </c>
    </row>
  </sheetData>
  <mergeCells count="1">
    <mergeCell ref="W1:Z1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ed57f9-8819-45bb-a9ab-8668b03bea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D81EA905B6BC847BDD1FFADA815F393" ma:contentTypeVersion="8" ma:contentTypeDescription="Utwórz nowy dokument." ma:contentTypeScope="" ma:versionID="a36b345e7ebf274c2a24b4316543360b">
  <xsd:schema xmlns:xsd="http://www.w3.org/2001/XMLSchema" xmlns:xs="http://www.w3.org/2001/XMLSchema" xmlns:p="http://schemas.microsoft.com/office/2006/metadata/properties" xmlns:ns3="ebed57f9-8819-45bb-a9ab-8668b03beab8" xmlns:ns4="692ade2a-f34a-415b-a005-a596550909dc" targetNamespace="http://schemas.microsoft.com/office/2006/metadata/properties" ma:root="true" ma:fieldsID="5e7fd5b69d5550c3a59546843463323f" ns3:_="" ns4:_="">
    <xsd:import namespace="ebed57f9-8819-45bb-a9ab-8668b03beab8"/>
    <xsd:import namespace="692ade2a-f34a-415b-a005-a596550909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d57f9-8819-45bb-a9ab-8668b03be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ade2a-f34a-415b-a005-a596550909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FFD93F-4B00-46B0-9419-22F31EB9898B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92ade2a-f34a-415b-a005-a596550909dc"/>
    <ds:schemaRef ds:uri="ebed57f9-8819-45bb-a9ab-8668b03beab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92D184D-E071-4DD5-9FD1-16ABCF32C6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ed57f9-8819-45bb-a9ab-8668b03beab8"/>
    <ds:schemaRef ds:uri="692ade2a-f34a-415b-a005-a59655090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044F9A-14FA-4FEB-ACF1-4D4FD4AFAA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Regresja</vt:lpstr>
      <vt:lpstr>MLE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Tomasz Wójtowicz</dc:creator>
  <cp:keywords/>
  <dc:description/>
  <cp:lastModifiedBy>Patrycja Piła</cp:lastModifiedBy>
  <cp:revision/>
  <dcterms:created xsi:type="dcterms:W3CDTF">2025-10-15T08:23:29Z</dcterms:created>
  <dcterms:modified xsi:type="dcterms:W3CDTF">2025-10-27T20:51:07Z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0x0101000D81EA905B6BC847BDD1FFADA815F393</vt:lpwstr>
  </property>
</Properties>
</file>