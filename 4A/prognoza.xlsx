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11Home\Desktop\Studia\Magisterka\III semestr\EFID\Lab\4A\"/>
    </mc:Choice>
  </mc:AlternateContent>
  <xr:revisionPtr revIDLastSave="0" documentId="8_{223D55F0-E7BE-41E0-A9E7-5DAEFD75A2DB}" xr6:coauthVersionLast="47" xr6:coauthVersionMax="47" xr10:uidLastSave="{00000000-0000-0000-0000-000000000000}"/>
  <bookViews>
    <workbookView xWindow="-108" yWindow="-108" windowWidth="23256" windowHeight="12456" firstSheet="1" activeTab="1" xr2:uid="{0DFBD28D-F22E-4ADE-B47D-38B36454D437}"/>
  </bookViews>
  <sheets>
    <sheet name="Regresja" sheetId="2" r:id="rId1"/>
    <sheet name="MLE" sheetId="1" r:id="rId2"/>
  </sheets>
  <definedNames>
    <definedName name="solver_adj" localSheetId="1" hidden="1">MLE!$I$8:$I$11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MLE!$I$11</definedName>
    <definedName name="solver_lhs2" localSheetId="1" hidden="1">MLE!$I$9</definedName>
    <definedName name="solver_lhs3" localSheetId="1" hidden="1">MLE!$I$9</definedName>
    <definedName name="solver_lhs4" localSheetId="1" hidden="1">MLE!$I$9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MLE!$I$6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hs1" localSheetId="1" hidden="1">MLE!$K$11</definedName>
    <definedName name="solver_rhs2" localSheetId="1" hidden="1">10</definedName>
    <definedName name="solver_rhs3" localSheetId="1" hidden="1">10</definedName>
    <definedName name="solver_rhs4" localSheetId="1" hidden="1">10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6" i="1" l="1"/>
  <c r="T7" i="1" s="1"/>
  <c r="P4" i="1"/>
  <c r="P3" i="1"/>
  <c r="L4" i="1"/>
  <c r="P5" i="1"/>
  <c r="P6" i="1" s="1"/>
  <c r="P7" i="1" s="1"/>
  <c r="P8" i="1" s="1"/>
  <c r="P9" i="1" s="1"/>
  <c r="P10" i="1" s="1"/>
  <c r="P11" i="1" s="1"/>
  <c r="P12" i="1" s="1"/>
  <c r="L3" i="1"/>
  <c r="L2" i="1"/>
  <c r="I6" i="1"/>
  <c r="D4" i="1"/>
  <c r="F4" i="1"/>
  <c r="I5" i="1"/>
  <c r="I4" i="1" l="1"/>
  <c r="I2" i="1"/>
  <c r="E4" i="1"/>
  <c r="D6" i="1"/>
  <c r="D5" i="1"/>
  <c r="E5" i="1" s="1"/>
  <c r="F5" i="1" s="1"/>
  <c r="E6" i="1" l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 s="1"/>
  <c r="F38" i="1" s="1"/>
  <c r="D39" i="1"/>
  <c r="E39" i="1" s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E43" i="1" s="1"/>
  <c r="F43" i="1" s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E49" i="1" s="1"/>
  <c r="F49" i="1" s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E75" i="1" s="1"/>
  <c r="F75" i="1" s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E87" i="1" s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101" i="1"/>
  <c r="E101" i="1" s="1"/>
  <c r="F101" i="1" s="1"/>
  <c r="D102" i="1"/>
  <c r="E102" i="1" s="1"/>
  <c r="F102" i="1" s="1"/>
  <c r="D103" i="1"/>
  <c r="E103" i="1" s="1"/>
  <c r="F103" i="1" s="1"/>
  <c r="D104" i="1"/>
  <c r="E104" i="1" s="1"/>
  <c r="F104" i="1" s="1"/>
  <c r="D105" i="1"/>
  <c r="E105" i="1" s="1"/>
  <c r="F105" i="1" s="1"/>
  <c r="D106" i="1"/>
  <c r="E106" i="1" s="1"/>
  <c r="F106" i="1" s="1"/>
  <c r="D107" i="1"/>
  <c r="E107" i="1" s="1"/>
  <c r="F107" i="1" s="1"/>
  <c r="D108" i="1"/>
  <c r="E108" i="1" s="1"/>
  <c r="F108" i="1" s="1"/>
  <c r="D109" i="1"/>
  <c r="E109" i="1" s="1"/>
  <c r="F109" i="1" s="1"/>
  <c r="D110" i="1"/>
  <c r="E110" i="1" s="1"/>
  <c r="F110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4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3" i="1"/>
</calcChain>
</file>

<file path=xl/sharedStrings.xml><?xml version="1.0" encoding="utf-8"?>
<sst xmlns="http://schemas.openxmlformats.org/spreadsheetml/2006/main" count="68" uniqueCount="66">
  <si>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</si>
  <si>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</si>
  <si>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</si>
  <si>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</si>
  <si>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</si>
  <si>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</si>
  <si>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</si>
  <si>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</si>
  <si>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</si>
  <si>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</si>
  <si>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</si>
  <si>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</si>
  <si>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</si>
  <si>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</si>
  <si>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</si>
  <si>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</si>
  <si>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</si>
  <si>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</si>
  <si>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</si>
  <si>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</si>
  <si>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</si>
  <si>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</si>
  <si>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</si>
  <si>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</si>
  <si>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</si>
  <si>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>X Variable 2</t>
  </si>
  <si>
    <t>X_t</t>
  </si>
  <si>
    <t>X_t-1</t>
  </si>
  <si>
    <t>X_t-2</t>
  </si>
  <si>
    <t>X_hat</t>
  </si>
  <si>
    <t>reszty</t>
  </si>
  <si>
    <t>likelihood sig</t>
  </si>
  <si>
    <t>parametry modelu</t>
  </si>
  <si>
    <t>oszacowane wartości</t>
  </si>
  <si>
    <t>Współczynniki autokorelacji (obliczone na podstawie oszacowanych parametrów modelu)</t>
  </si>
  <si>
    <t>ARMA(2,0)</t>
  </si>
  <si>
    <t>T</t>
  </si>
  <si>
    <t>E(X_t)</t>
  </si>
  <si>
    <t>ro0</t>
  </si>
  <si>
    <t>p</t>
  </si>
  <si>
    <t>var(X_t)</t>
  </si>
  <si>
    <t>ro1</t>
  </si>
  <si>
    <t>-(T-p)/2 * log(2pi)</t>
  </si>
  <si>
    <t>P(X_t&gt;0)</t>
  </si>
  <si>
    <t>ro2</t>
  </si>
  <si>
    <t>-(T-p)/2 * log(sigm^2)</t>
  </si>
  <si>
    <t>ro3</t>
  </si>
  <si>
    <t>Funkcja celu</t>
  </si>
  <si>
    <t>ro4</t>
  </si>
  <si>
    <t>Ograniczenie</t>
  </si>
  <si>
    <t>ro5</t>
  </si>
  <si>
    <t>f0</t>
  </si>
  <si>
    <t>ro6</t>
  </si>
  <si>
    <t>f1</t>
  </si>
  <si>
    <t>ro7</t>
  </si>
  <si>
    <t>f2</t>
  </si>
  <si>
    <t>s2</t>
  </si>
  <si>
    <t>&gt;</t>
  </si>
  <si>
    <t>ro9</t>
  </si>
  <si>
    <t>ro10</t>
  </si>
  <si>
    <t>Prognoza</t>
  </si>
  <si>
    <t>h</t>
  </si>
  <si>
    <t>Wartość</t>
  </si>
  <si>
    <t>y = fi0 + fi1 * XT+2 + f2*XT+1</t>
  </si>
  <si>
    <t>y = fi0 + fi1 * XT+1 + f2*XT</t>
  </si>
  <si>
    <t>y = fi0 + fi1 * XT + f2*XT-1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</si>
</sst>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1"/>
      <color theme="1"/>
      <name val="Symbol"/>
      <family val="1"/>
      <charset val="2"/>
    </font>
    <font>
      <sz val="8"/>
      <name val="Calibri"/>
      <family val="2"/>
      <charset val="238"/>
    </font>
    <font>
      <sz val="12"/>
      <color theme="1"/>
      <name val="Aptos Narrow"/>
      <family val="2"/>
      <scheme val="minor"/>
    </font>
    <font>
      <i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4" fillId="0" borderId="0" xfId="1" applyAlignment="1">
      <alignment horizontal="right" wrapText="1"/>
    </xf>
    <xf numFmtId="0" fontId="0" fillId="0" borderId="0" xfId="0" quotePrefix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1" fillId="0" borderId="0" xfId="0" applyFont="1" applyAlignment="1">
      <alignment horizontal="center" vertical="center" wrapText="1"/>
    </xf>
    <xf numFmtId="0" fontId="0" fillId="0" borderId="0" xfId="0" quotePrefix="1"/>
  </cellXfs>
  <cellStyles count="4">
    <cellStyle name="Comma 2" xfId="2" xr:uid="{C26387DA-FDB9-4EEB-A797-16BC0D4ACC9C}"/>
    <cellStyle name="Normal" xfId="0" builtinId="0"/>
    <cellStyle name="Normal 2" xfId="1" xr:uid="{4943FB26-FBD5-40FB-87DD-FEAFAD2BF3F1}"/>
    <cellStyle name="Percent 2" xfId="3" xr:uid="{525FE0DB-F857-4937-9D17-FDDCEFC120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529590</xdr:colOff>
      <xdr:row>14</xdr:row>
      <xdr:rowOff>135255</xdr:rowOff>
    </xdr:from>
    <xdr:to>
      <xdr:col>16</xdr:col>
      <xdr:colOff>483870</xdr:colOff>
      <xdr:row>24</xdr:row>
      <xdr:rowOff>20955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1A497DC-0E53-F8AD-13EF-2BBC786B1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2265" y="3411855"/>
          <a:ext cx="4509135" cy="1703070"/>
        </a:xfrm>
        <a:prstGeom prst="rect">
          <a:avLst/>
        </a:prstGeom>
      </xdr:spPr>
    </xdr:pic>
    <xdr:clientData/>
  </xdr:twoCellAnchor>
  <xdr:twoCellAnchor editAs="oneCell">
    <xdr:from>
      <xdr:col>6</xdr:col>
      <xdr:colOff>268606</xdr:colOff>
      <xdr:row>14</xdr:row>
      <xdr:rowOff>78497</xdr:rowOff>
    </xdr:from>
    <xdr:to>
      <xdr:col>9</xdr:col>
      <xdr:colOff>401955</xdr:colOff>
      <xdr:row>28</xdr:row>
      <xdr:rowOff>117104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D218BA6-4C3F-8F5A-94E6-033536A1D2D9}"/>
            </a:ext>
            <a:ext uri="{147F2762-F138-4A5C-976F-8EAC2B608ADB}">
              <a16:predDERef xmlns:a16="http://schemas.microsoft.com/office/drawing/2014/main" pred="{D1A497DC-0E53-F8AD-13EF-2BBC786B1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4781" y="3355097"/>
          <a:ext cx="2682239" cy="25722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B9C7-BE68-465F-94E0-6E4C785E2B31}">
  <dimension ref="A1:I19"/>
  <sheetViews>
    <sheetView workbookViewId="0">
      <selection activeCell="C25" sqref="C25"/>
    </sheetView>
  </sheetViews>
  <sheetFormatPr defaultRowHeight="14.4" x14ac:dyDescent="0.3"/>
  <cols>
    <col min="2" max="2" width="27.109375" customWidth="1"/>
  </cols>
  <sheetData>
    <row r="1" spans="1:9" x14ac:dyDescent="0.3">
      <c r="A1" t="s">
        <v>0</v>
      </c>
    </row>
    <row r="2" spans="1:9" ht="15" thickBot="1" x14ac:dyDescent="0.35"/>
    <row r="3" spans="1:9" x14ac:dyDescent="0.3">
      <c r="A3" s="13" t="s">
        <v>1</v>
      </c>
      <c r="B3" s="13"/>
    </row>
    <row r="4" spans="1:9" x14ac:dyDescent="0.3">
      <c r="A4" t="s">
        <v>2</v>
      </c>
      <c r="B4">
        <v>0.18759212464765918</v>
      </c>
    </row>
    <row r="5" spans="1:9" x14ac:dyDescent="0.3">
      <c r="A5" t="s">
        <v>3</v>
      </c>
      <c r="B5">
        <v>3.5190805229822895E-2</v>
      </c>
    </row>
    <row r="6" spans="1:9" x14ac:dyDescent="0.3">
      <c r="A6" t="s">
        <v>4</v>
      </c>
      <c r="B6">
        <v>1.6636782253473335E-2</v>
      </c>
    </row>
    <row r="7" spans="1:9" x14ac:dyDescent="0.3">
      <c r="A7" t="s">
        <v>5</v>
      </c>
      <c r="B7">
        <v>2.2105241841536512E-2</v>
      </c>
    </row>
    <row r="8" spans="1:9" ht="15" thickBot="1" x14ac:dyDescent="0.35">
      <c r="A8" s="11" t="s">
        <v>6</v>
      </c>
      <c r="B8" s="11">
        <v>107</v>
      </c>
    </row>
    <row r="10" spans="1:9" ht="15" thickBot="1" x14ac:dyDescent="0.35">
      <c r="A10" t="s">
        <v>7</v>
      </c>
    </row>
    <row r="11" spans="1:9" x14ac:dyDescent="0.3">
      <c r="A11" s="12"/>
      <c r="B11" s="12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</row>
    <row r="12" spans="1:9" x14ac:dyDescent="0.3">
      <c r="A12" t="s">
        <v>13</v>
      </c>
      <c r="B12">
        <v>2</v>
      </c>
      <c r="C12">
        <v>1.8535813507999377E-3</v>
      </c>
      <c r="D12">
        <v>9.2679067539996884E-4</v>
      </c>
      <c r="E12">
        <v>1.8966671149798568</v>
      </c>
      <c r="F12">
        <v>0.15522245667175483</v>
      </c>
    </row>
    <row r="13" spans="1:9" x14ac:dyDescent="0.3">
      <c r="A13" t="s">
        <v>14</v>
      </c>
      <c r="B13">
        <v>104</v>
      </c>
      <c r="C13">
        <v>5.081873855477291E-2</v>
      </c>
      <c r="D13">
        <v>4.8864171687281648E-4</v>
      </c>
    </row>
    <row r="14" spans="1:9" ht="15" thickBot="1" x14ac:dyDescent="0.35">
      <c r="A14" s="11" t="s">
        <v>15</v>
      </c>
      <c r="B14" s="11">
        <v>106</v>
      </c>
      <c r="C14" s="11">
        <v>5.2672319905572848E-2</v>
      </c>
      <c r="D14" s="11"/>
      <c r="E14" s="11"/>
      <c r="F14" s="11"/>
    </row>
    <row r="15" spans="1:9" ht="15" thickBot="1" x14ac:dyDescent="0.35"/>
    <row r="16" spans="1:9" x14ac:dyDescent="0.3">
      <c r="A16" s="12"/>
      <c r="B16" s="12" t="s">
        <v>16</v>
      </c>
      <c r="C16" s="12" t="s">
        <v>5</v>
      </c>
      <c r="D16" s="12" t="s">
        <v>17</v>
      </c>
      <c r="E16" s="12" t="s">
        <v>18</v>
      </c>
      <c r="F16" s="12" t="s">
        <v>19</v>
      </c>
      <c r="G16" s="12" t="s">
        <v>20</v>
      </c>
      <c r="H16" s="12" t="s">
        <v>21</v>
      </c>
      <c r="I16" s="12" t="s">
        <v>22</v>
      </c>
    </row>
    <row r="17" spans="1:9" x14ac:dyDescent="0.3">
      <c r="A17" t="s">
        <v>23</v>
      </c>
      <c r="B17">
        <v>-3.4070484011313926E-3</v>
      </c>
      <c r="C17">
        <v>2.164971568565351E-3</v>
      </c>
      <c r="D17">
        <v>-1.5737150781102967</v>
      </c>
      <c r="E17">
        <v>0.11859067211161578</v>
      </c>
      <c r="F17">
        <v>-7.7002682653668254E-3</v>
      </c>
      <c r="G17">
        <v>8.8617146310404063E-4</v>
      </c>
      <c r="H17">
        <v>-7.7002682653668254E-3</v>
      </c>
      <c r="I17">
        <v>8.8617146310404063E-4</v>
      </c>
    </row>
    <row r="18" spans="1:9" x14ac:dyDescent="0.3">
      <c r="A18" t="s">
        <v>24</v>
      </c>
      <c r="B18">
        <v>-0.14098312208864577</v>
      </c>
      <c r="C18">
        <v>9.7486188499872908E-2</v>
      </c>
      <c r="D18">
        <v>-1.4461856008333895</v>
      </c>
      <c r="E18">
        <v>0.15113218367440062</v>
      </c>
      <c r="F18">
        <v>-0.3343018921977603</v>
      </c>
      <c r="G18">
        <v>5.2335648020468778E-2</v>
      </c>
      <c r="H18">
        <v>-0.3343018921977603</v>
      </c>
      <c r="I18">
        <v>5.2335648020468778E-2</v>
      </c>
    </row>
    <row r="19" spans="1:9" ht="15" thickBot="1" x14ac:dyDescent="0.35">
      <c r="A19" s="11" t="s">
        <v>25</v>
      </c>
      <c r="B19" s="11">
        <v>-0.14409268852777038</v>
      </c>
      <c r="C19" s="11">
        <v>9.7548894113066234E-2</v>
      </c>
      <c r="D19" s="11">
        <v>-1.477132978675868</v>
      </c>
      <c r="E19" s="11">
        <v>0.14266183592211926</v>
      </c>
      <c r="F19" s="11">
        <v>-0.33753580622096846</v>
      </c>
      <c r="G19" s="11">
        <v>4.9350429165427701E-2</v>
      </c>
      <c r="H19" s="11">
        <v>-0.33753580622096846</v>
      </c>
      <c r="I19" s="11">
        <v>4.9350429165427701E-2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01C3-B9FD-487D-9C2A-DEEF11180A7E}">
  <dimension ref="A1:V110"/>
  <sheetViews>
    <sheetView tabSelected="1" topLeftCell="B1" workbookViewId="0">
      <selection activeCell="L8" sqref="L8"/>
    </sheetView>
  </sheetViews>
  <sheetFormatPr defaultRowHeight="14.4" x14ac:dyDescent="0.3"/>
  <cols>
    <col min="1" max="1" width="12" style="2" customWidth="1"/>
    <col min="2" max="2" width="8.88671875" style="2"/>
    <col min="5" max="5" width="8.88671875" style="2"/>
    <col min="6" max="6" width="10.44140625" style="2" customWidth="1"/>
    <col min="7" max="7" width="8.88671875" style="2"/>
    <col min="8" max="8" width="19.44140625" style="2" customWidth="1"/>
    <col min="9" max="10" width="8.88671875" style="2"/>
    <col min="11" max="11" width="10" style="2" bestFit="1" customWidth="1"/>
    <col min="12" max="12" width="12" style="2" bestFit="1" customWidth="1"/>
    <col min="13" max="17" width="8.88671875" style="2"/>
  </cols>
  <sheetData>
    <row r="1" spans="1:22" s="4" customFormat="1" ht="73.2" customHeight="1" x14ac:dyDescent="0.3">
      <c r="A1" s="3" t="s">
        <v>26</v>
      </c>
      <c r="B1" s="3" t="s">
        <v>27</v>
      </c>
      <c r="C1" s="3" t="s">
        <v>28</v>
      </c>
      <c r="D1" s="3" t="s">
        <v>29</v>
      </c>
      <c r="E1" s="5" t="s">
        <v>30</v>
      </c>
      <c r="F1" s="9" t="s">
        <v>31</v>
      </c>
      <c r="H1" s="4" t="s">
        <v>32</v>
      </c>
      <c r="I1" s="4" t="s">
        <v>33</v>
      </c>
      <c r="N1" s="14" t="s">
        <v>34</v>
      </c>
      <c r="O1" s="14"/>
      <c r="P1" s="14"/>
      <c r="Q1" s="14"/>
      <c r="T1" s="4" t="s">
        <v>35</v>
      </c>
    </row>
    <row r="2" spans="1:22" x14ac:dyDescent="0.3">
      <c r="A2" s="1">
        <v>6.1824672965526579E-3</v>
      </c>
      <c r="B2" s="1"/>
      <c r="C2" s="8"/>
      <c r="D2" s="8"/>
      <c r="E2" s="6"/>
      <c r="H2" s="2" t="s">
        <v>36</v>
      </c>
      <c r="I2" s="6">
        <f>COUNT(A4:A110)</f>
        <v>107</v>
      </c>
      <c r="K2" s="2" t="s">
        <v>37</v>
      </c>
      <c r="L2" s="6">
        <f>I8/(1-I9-I10)</f>
        <v>-2.6512194978141231E-3</v>
      </c>
      <c r="O2" s="2" t="s">
        <v>38</v>
      </c>
      <c r="P2" s="2">
        <v>1</v>
      </c>
    </row>
    <row r="3" spans="1:22" x14ac:dyDescent="0.3">
      <c r="A3" s="1">
        <v>4.462618402122886E-3</v>
      </c>
      <c r="B3" s="1">
        <f t="shared" ref="B3:B34" si="0">A2</f>
        <v>6.1824672965526579E-3</v>
      </c>
      <c r="C3" s="8"/>
      <c r="D3" s="8"/>
      <c r="E3" s="6"/>
      <c r="H3" s="2" t="s">
        <v>39</v>
      </c>
      <c r="I3" s="6">
        <v>2</v>
      </c>
      <c r="K3" s="2" t="s">
        <v>40</v>
      </c>
      <c r="L3" s="6">
        <f>((1-I10)*I11)/((1+I10)*(1-I9-I10)*(1+I9-I10))</f>
        <v>5.0187104790405418E-4</v>
      </c>
      <c r="O3" s="2" t="s">
        <v>41</v>
      </c>
      <c r="P3" s="6">
        <f>I9/(1-I10)</f>
        <v>-0.12322944931931246</v>
      </c>
      <c r="S3" t="s">
        <v>60</v>
      </c>
    </row>
    <row r="4" spans="1:22" x14ac:dyDescent="0.3">
      <c r="A4" s="1">
        <v>4.1532372052162348E-4</v>
      </c>
      <c r="B4" s="1">
        <f t="shared" si="0"/>
        <v>4.462618402122886E-3</v>
      </c>
      <c r="C4" s="8">
        <f>A2</f>
        <v>6.1824672965526579E-3</v>
      </c>
      <c r="D4" s="8">
        <f t="shared" ref="D4:D35" si="1">$I$8+$I$9*B4+$I$10*C4</f>
        <v>-4.9270697463656404E-3</v>
      </c>
      <c r="E4" s="6">
        <f>A4-D4</f>
        <v>5.3423934668872641E-3</v>
      </c>
      <c r="F4" s="2">
        <f>((E4)^2)/ (2*$I$11)</f>
        <v>2.9485439866889625E-2</v>
      </c>
      <c r="H4" s="10" t="s">
        <v>42</v>
      </c>
      <c r="I4" s="6">
        <f>-(I2-I3)* LN(2*PI()) /2</f>
        <v>-96.488545986490635</v>
      </c>
      <c r="K4" s="2" t="s">
        <v>43</v>
      </c>
      <c r="L4" s="6">
        <f>_xlfn.NORM.DIST(L2/SQRT(L3),0,1,TRUE)</f>
        <v>0.45289718394814665</v>
      </c>
      <c r="O4" s="2" t="s">
        <v>44</v>
      </c>
      <c r="P4" s="6">
        <f>$I$9*P3+$I$10*P2</f>
        <v>-0.12672207878502645</v>
      </c>
      <c r="S4" t="s">
        <v>61</v>
      </c>
      <c r="T4" t="s">
        <v>62</v>
      </c>
    </row>
    <row r="5" spans="1:22" x14ac:dyDescent="0.3">
      <c r="A5" s="1">
        <v>-8.9938822612816213E-3</v>
      </c>
      <c r="B5" s="1">
        <f t="shared" si="0"/>
        <v>4.1532372052162348E-4</v>
      </c>
      <c r="C5" s="8">
        <f t="shared" ref="C5:C68" si="2">A3</f>
        <v>4.462618402122886E-3</v>
      </c>
      <c r="D5" s="8">
        <f t="shared" si="1"/>
        <v>-4.1086337904036969E-3</v>
      </c>
      <c r="E5" s="6">
        <f>A5-D5</f>
        <v>-4.8852484708779243E-3</v>
      </c>
      <c r="F5" s="2">
        <f t="shared" ref="F5:F68" si="3">((E5)^2)/ (2*$I$11)</f>
        <v>2.4655237178271974E-2</v>
      </c>
      <c r="H5" s="10" t="s">
        <v>45</v>
      </c>
      <c r="I5" s="6">
        <f>-(105)/2 * LN(I11)</f>
        <v>400.75620388426131</v>
      </c>
      <c r="O5" s="2" t="s">
        <v>46</v>
      </c>
      <c r="P5" s="6">
        <f t="shared" ref="P5:P12" si="4">$I$9*P4+$I$10*P3</f>
        <v>3.5622914386022234E-2</v>
      </c>
      <c r="S5">
        <v>1</v>
      </c>
      <c r="T5">
        <f>$I$8+$I$9*A110+$I$10*B110</f>
        <v>2.0576938065454812E-3</v>
      </c>
      <c r="V5" s="15" t="s">
        <v>65</v>
      </c>
    </row>
    <row r="6" spans="1:22" x14ac:dyDescent="0.3">
      <c r="A6" s="1">
        <v>2.2962041537351808E-2</v>
      </c>
      <c r="B6" s="1">
        <f t="shared" si="0"/>
        <v>-8.9938822612816213E-3</v>
      </c>
      <c r="C6" s="8">
        <f t="shared" si="2"/>
        <v>4.1532372052162348E-4</v>
      </c>
      <c r="D6" s="8">
        <f t="shared" si="1"/>
        <v>-2.1988668362792796E-3</v>
      </c>
      <c r="E6" s="6">
        <f t="shared" ref="E6:E68" si="5">A6-D6</f>
        <v>2.5160908373631087E-2</v>
      </c>
      <c r="F6" s="2">
        <f t="shared" si="3"/>
        <v>0.65401619433916369</v>
      </c>
      <c r="H6" s="2" t="s">
        <v>47</v>
      </c>
      <c r="I6" s="6">
        <f>I4+I5-SUM(F4:F110)</f>
        <v>251.76760386504998</v>
      </c>
      <c r="O6" s="2" t="s">
        <v>48</v>
      </c>
      <c r="P6" s="6">
        <f t="shared" si="4"/>
        <v>1.3237769425659367E-2</v>
      </c>
      <c r="S6">
        <v>2</v>
      </c>
      <c r="T6">
        <f>$I$8+$I$9*T5+$I$10*A110</f>
        <v>-2.0502034477360917E-4</v>
      </c>
      <c r="V6" s="15" t="s">
        <v>64</v>
      </c>
    </row>
    <row r="7" spans="1:22" x14ac:dyDescent="0.3">
      <c r="A7" s="1">
        <v>2.8036389569355131E-2</v>
      </c>
      <c r="B7" s="1">
        <f t="shared" si="0"/>
        <v>2.2962041537351808E-2</v>
      </c>
      <c r="C7" s="8">
        <f t="shared" si="2"/>
        <v>-8.9938822612816213E-3</v>
      </c>
      <c r="D7" s="8">
        <f t="shared" si="1"/>
        <v>-5.3483874059019054E-3</v>
      </c>
      <c r="E7" s="6">
        <f t="shared" si="5"/>
        <v>3.3384776975257033E-2</v>
      </c>
      <c r="F7" s="2">
        <f t="shared" si="3"/>
        <v>1.151417506678704</v>
      </c>
      <c r="K7" s="2" t="s">
        <v>49</v>
      </c>
      <c r="O7" s="2" t="s">
        <v>50</v>
      </c>
      <c r="P7" s="6">
        <f t="shared" si="4"/>
        <v>-6.999454235888279E-3</v>
      </c>
      <c r="S7">
        <v>3</v>
      </c>
      <c r="T7">
        <f>$I$8+$I$9*T6+$I$10*T5</f>
        <v>-3.6746343905328855E-3</v>
      </c>
      <c r="V7" s="15" t="s">
        <v>63</v>
      </c>
    </row>
    <row r="8" spans="1:22" x14ac:dyDescent="0.3">
      <c r="A8" s="1">
        <v>-1.4485146958742819E-3</v>
      </c>
      <c r="B8" s="1">
        <f t="shared" si="0"/>
        <v>2.8036389569355131E-2</v>
      </c>
      <c r="C8" s="8">
        <f t="shared" si="2"/>
        <v>2.2962041537351808E-2</v>
      </c>
      <c r="D8" s="8">
        <f t="shared" si="1"/>
        <v>-1.0668513433056338E-2</v>
      </c>
      <c r="E8" s="6">
        <f t="shared" si="5"/>
        <v>9.2199987371820568E-3</v>
      </c>
      <c r="F8" s="2">
        <f t="shared" si="3"/>
        <v>8.7820841239585723E-2</v>
      </c>
      <c r="H8" s="7" t="s">
        <v>51</v>
      </c>
      <c r="I8" s="6">
        <v>-3.4070345332349455E-3</v>
      </c>
      <c r="O8" s="2" t="s">
        <v>52</v>
      </c>
      <c r="P8" s="6">
        <f t="shared" si="4"/>
        <v>-9.2067912835227584E-4</v>
      </c>
    </row>
    <row r="9" spans="1:22" x14ac:dyDescent="0.3">
      <c r="A9" s="1">
        <v>-1.0211369564398056E-2</v>
      </c>
      <c r="B9" s="1">
        <f t="shared" si="0"/>
        <v>-1.4485146958742819E-3</v>
      </c>
      <c r="C9" s="8">
        <f t="shared" si="2"/>
        <v>2.8036389569355131E-2</v>
      </c>
      <c r="D9" s="8">
        <f t="shared" si="1"/>
        <v>-7.2427381651713621E-3</v>
      </c>
      <c r="E9" s="6">
        <f t="shared" si="5"/>
        <v>-2.9686313992266936E-3</v>
      </c>
      <c r="F9" s="2">
        <f t="shared" si="3"/>
        <v>9.1043390590162948E-3</v>
      </c>
      <c r="H9" s="7" t="s">
        <v>53</v>
      </c>
      <c r="I9" s="6">
        <v>-0.14098628818619521</v>
      </c>
      <c r="O9" s="2" t="s">
        <v>54</v>
      </c>
      <c r="P9" s="6">
        <f t="shared" si="4"/>
        <v>1.1383946807110557E-3</v>
      </c>
    </row>
    <row r="10" spans="1:22" x14ac:dyDescent="0.3">
      <c r="A10" s="1">
        <v>-7.5267021293541053E-3</v>
      </c>
      <c r="B10" s="1">
        <f t="shared" si="0"/>
        <v>-1.0211369564398056E-2</v>
      </c>
      <c r="C10" s="8">
        <f t="shared" si="2"/>
        <v>-1.4485146958742819E-3</v>
      </c>
      <c r="D10" s="8">
        <f t="shared" si="1"/>
        <v>-1.7586466419645492E-3</v>
      </c>
      <c r="E10" s="6">
        <f t="shared" si="5"/>
        <v>-5.768055487389556E-3</v>
      </c>
      <c r="F10" s="2">
        <f t="shared" si="3"/>
        <v>3.4371202687803734E-2</v>
      </c>
      <c r="H10" s="7" t="s">
        <v>55</v>
      </c>
      <c r="I10" s="6">
        <v>-0.14409574143978518</v>
      </c>
      <c r="O10" s="2" t="s">
        <v>52</v>
      </c>
      <c r="P10" s="6">
        <f t="shared" si="4"/>
        <v>-2.7832098896304246E-5</v>
      </c>
    </row>
    <row r="11" spans="1:22" x14ac:dyDescent="0.3">
      <c r="A11" s="1">
        <v>-2.0472029282336133E-2</v>
      </c>
      <c r="B11" s="1">
        <f t="shared" si="0"/>
        <v>-7.5267021293541053E-3</v>
      </c>
      <c r="C11" s="8">
        <f t="shared" si="2"/>
        <v>-1.0211369564398056E-2</v>
      </c>
      <c r="D11" s="8">
        <f t="shared" si="1"/>
        <v>-8.7445786923658455E-4</v>
      </c>
      <c r="E11" s="6">
        <f t="shared" si="5"/>
        <v>-1.9597571413099549E-2</v>
      </c>
      <c r="F11" s="2">
        <f t="shared" si="3"/>
        <v>0.39677141941952859</v>
      </c>
      <c r="H11" s="7" t="s">
        <v>56</v>
      </c>
      <c r="I11" s="6">
        <v>4.839874881278223E-4</v>
      </c>
      <c r="J11" s="2" t="s">
        <v>57</v>
      </c>
      <c r="K11" s="2">
        <v>1E-4</v>
      </c>
      <c r="O11" s="2" t="s">
        <v>58</v>
      </c>
      <c r="P11" s="6">
        <f t="shared" si="4"/>
        <v>-1.6011388125234606E-4</v>
      </c>
    </row>
    <row r="12" spans="1:22" x14ac:dyDescent="0.3">
      <c r="A12" s="1">
        <v>-1.8125714828559809E-4</v>
      </c>
      <c r="B12" s="1">
        <f t="shared" si="0"/>
        <v>-2.0472029282336133E-2</v>
      </c>
      <c r="C12" s="8">
        <f t="shared" si="2"/>
        <v>-7.5267021293541053E-3</v>
      </c>
      <c r="D12" s="8">
        <f t="shared" si="1"/>
        <v>5.6380661084641341E-4</v>
      </c>
      <c r="E12" s="6">
        <f t="shared" si="5"/>
        <v>-7.450637591320115E-4</v>
      </c>
      <c r="F12" s="2">
        <f t="shared" si="3"/>
        <v>5.7348590489318142E-4</v>
      </c>
      <c r="I12" s="6"/>
      <c r="O12" s="2" t="s">
        <v>59</v>
      </c>
      <c r="P12" s="6">
        <f t="shared" si="4"/>
        <v>2.6584348731141886E-5</v>
      </c>
    </row>
    <row r="13" spans="1:22" x14ac:dyDescent="0.3">
      <c r="A13" s="1">
        <v>-3.4588048006226279E-3</v>
      </c>
      <c r="B13" s="1">
        <f t="shared" si="0"/>
        <v>-1.8125714828559809E-4</v>
      </c>
      <c r="C13" s="8">
        <f t="shared" si="2"/>
        <v>-2.0472029282336133E-2</v>
      </c>
      <c r="D13" s="8">
        <f t="shared" si="1"/>
        <v>-4.3154752247572589E-4</v>
      </c>
      <c r="E13" s="6">
        <f t="shared" si="5"/>
        <v>-3.027257278146902E-3</v>
      </c>
      <c r="F13" s="2">
        <f t="shared" si="3"/>
        <v>9.4674829958342633E-3</v>
      </c>
      <c r="I13" s="6"/>
    </row>
    <row r="14" spans="1:22" x14ac:dyDescent="0.3">
      <c r="A14" s="1">
        <v>-1.5331706132346372E-2</v>
      </c>
      <c r="B14" s="1">
        <f t="shared" si="0"/>
        <v>-3.4588048006226279E-3</v>
      </c>
      <c r="C14" s="8">
        <f t="shared" si="2"/>
        <v>-1.8125714828559809E-4</v>
      </c>
      <c r="D14" s="8">
        <f t="shared" si="1"/>
        <v>-2.8932720996610942E-3</v>
      </c>
      <c r="E14" s="6">
        <f t="shared" si="5"/>
        <v>-1.2438434032685278E-2</v>
      </c>
      <c r="F14" s="2">
        <f t="shared" si="3"/>
        <v>0.15983330662527664</v>
      </c>
      <c r="I14" s="6"/>
    </row>
    <row r="15" spans="1:22" x14ac:dyDescent="0.3">
      <c r="A15" s="1">
        <v>-4.656378621715216E-2</v>
      </c>
      <c r="B15" s="1">
        <f t="shared" si="0"/>
        <v>-1.5331706132346372E-2</v>
      </c>
      <c r="C15" s="8">
        <f t="shared" si="2"/>
        <v>-3.4588048006226279E-3</v>
      </c>
      <c r="D15" s="8">
        <f t="shared" si="1"/>
        <v>-7.470751518326976E-4</v>
      </c>
      <c r="E15" s="6">
        <f t="shared" si="5"/>
        <v>-4.5816711065319461E-2</v>
      </c>
      <c r="F15" s="2">
        <f t="shared" si="3"/>
        <v>2.1686211568847109</v>
      </c>
      <c r="I15" s="6"/>
    </row>
    <row r="16" spans="1:22" x14ac:dyDescent="0.3">
      <c r="A16" s="1">
        <v>1.3382473241296692E-2</v>
      </c>
      <c r="B16" s="1">
        <f t="shared" si="0"/>
        <v>-4.656378621715216E-2</v>
      </c>
      <c r="C16" s="8">
        <f t="shared" si="2"/>
        <v>-1.5331706132346372E-2</v>
      </c>
      <c r="D16" s="8">
        <f t="shared" si="1"/>
        <v>5.3670544120942056E-3</v>
      </c>
      <c r="E16" s="6">
        <f t="shared" si="5"/>
        <v>8.015418829202486E-3</v>
      </c>
      <c r="F16" s="2">
        <f t="shared" si="3"/>
        <v>6.6372520554256534E-2</v>
      </c>
      <c r="I16" s="6"/>
    </row>
    <row r="17" spans="1:11" x14ac:dyDescent="0.3">
      <c r="A17" s="1">
        <v>1.5151053003889867E-2</v>
      </c>
      <c r="B17" s="1">
        <f t="shared" si="0"/>
        <v>1.3382473241296692E-2</v>
      </c>
      <c r="C17" s="8">
        <f t="shared" si="2"/>
        <v>-4.656378621715216E-2</v>
      </c>
      <c r="D17" s="8">
        <f t="shared" si="1"/>
        <v>1.4158635369277434E-3</v>
      </c>
      <c r="E17" s="6">
        <f t="shared" si="5"/>
        <v>1.3735189466962124E-2</v>
      </c>
      <c r="F17" s="2">
        <f t="shared" si="3"/>
        <v>0.19489701110157923</v>
      </c>
      <c r="I17" s="6"/>
    </row>
    <row r="18" spans="1:11" x14ac:dyDescent="0.3">
      <c r="A18" s="1">
        <v>5.1482818187326379E-4</v>
      </c>
      <c r="B18" s="1">
        <f t="shared" si="0"/>
        <v>1.5151053003889867E-2</v>
      </c>
      <c r="C18" s="8">
        <f t="shared" si="2"/>
        <v>1.3382473241296692E-2</v>
      </c>
      <c r="D18" s="8">
        <f t="shared" si="1"/>
        <v>-7.4714826623684125E-3</v>
      </c>
      <c r="E18" s="6">
        <f t="shared" si="5"/>
        <v>7.9863108442416765E-3</v>
      </c>
      <c r="F18" s="2">
        <f t="shared" si="3"/>
        <v>6.5891332385030005E-2</v>
      </c>
      <c r="I18" s="6"/>
    </row>
    <row r="19" spans="1:11" x14ac:dyDescent="0.3">
      <c r="A19" s="1">
        <v>-2.2920721027101063E-2</v>
      </c>
      <c r="B19" s="1">
        <f t="shared" si="0"/>
        <v>5.1482818187326379E-4</v>
      </c>
      <c r="C19" s="8">
        <f t="shared" si="2"/>
        <v>1.5151053003889867E-2</v>
      </c>
      <c r="D19" s="8">
        <f t="shared" si="1"/>
        <v>-5.6628204638398995E-3</v>
      </c>
      <c r="E19" s="6">
        <f t="shared" si="5"/>
        <v>-1.7257900563261163E-2</v>
      </c>
      <c r="F19" s="2">
        <f t="shared" si="3"/>
        <v>0.30768887539170331</v>
      </c>
      <c r="I19" s="6"/>
      <c r="K19" s="10"/>
    </row>
    <row r="20" spans="1:11" x14ac:dyDescent="0.3">
      <c r="A20" s="1">
        <v>1.1799869233762235E-2</v>
      </c>
      <c r="B20" s="1">
        <f t="shared" si="0"/>
        <v>-2.2920721027101063E-2</v>
      </c>
      <c r="C20" s="8">
        <f t="shared" si="2"/>
        <v>5.1482818187326379E-4</v>
      </c>
      <c r="D20" s="8">
        <f t="shared" si="1"/>
        <v>-2.497117016538153E-4</v>
      </c>
      <c r="E20" s="6">
        <f t="shared" si="5"/>
        <v>1.2049580935416049E-2</v>
      </c>
      <c r="F20" s="2">
        <f t="shared" si="3"/>
        <v>0.14999602704687712</v>
      </c>
    </row>
    <row r="21" spans="1:11" x14ac:dyDescent="0.3">
      <c r="A21" s="1">
        <v>6.612712700315191E-3</v>
      </c>
      <c r="B21" s="1">
        <f t="shared" si="0"/>
        <v>1.1799869233762235E-2</v>
      </c>
      <c r="C21" s="8">
        <f t="shared" si="2"/>
        <v>-2.2920721027101063E-2</v>
      </c>
      <c r="D21" s="8">
        <f t="shared" si="1"/>
        <v>-1.7678760068509645E-3</v>
      </c>
      <c r="E21" s="6">
        <f t="shared" si="5"/>
        <v>8.3805887071661551E-3</v>
      </c>
      <c r="F21" s="2">
        <f t="shared" si="3"/>
        <v>7.25579367251451E-2</v>
      </c>
    </row>
    <row r="22" spans="1:11" x14ac:dyDescent="0.3">
      <c r="A22" s="1">
        <v>1.2793884864139881E-2</v>
      </c>
      <c r="B22" s="1">
        <f t="shared" si="0"/>
        <v>6.612712700315191E-3</v>
      </c>
      <c r="C22" s="8">
        <f t="shared" si="2"/>
        <v>1.1799869233762235E-2</v>
      </c>
      <c r="D22" s="8">
        <f t="shared" si="1"/>
        <v>-6.0396472578255755E-3</v>
      </c>
      <c r="E22" s="6">
        <f t="shared" si="5"/>
        <v>1.8833532121965459E-2</v>
      </c>
      <c r="F22" s="2">
        <f t="shared" si="3"/>
        <v>0.3664370886540636</v>
      </c>
    </row>
    <row r="23" spans="1:11" x14ac:dyDescent="0.3">
      <c r="A23" s="1">
        <v>-7.9188127009602195E-3</v>
      </c>
      <c r="B23" s="1">
        <f t="shared" si="0"/>
        <v>1.2793884864139881E-2</v>
      </c>
      <c r="C23" s="8">
        <f t="shared" si="2"/>
        <v>6.612712700315191E-3</v>
      </c>
      <c r="D23" s="8">
        <f t="shared" si="1"/>
        <v>-6.1636606111917739E-3</v>
      </c>
      <c r="E23" s="6">
        <f t="shared" si="5"/>
        <v>-1.7551520897684456E-3</v>
      </c>
      <c r="F23" s="2">
        <f t="shared" si="3"/>
        <v>3.182477784844056E-3</v>
      </c>
    </row>
    <row r="24" spans="1:11" x14ac:dyDescent="0.3">
      <c r="A24" s="1">
        <v>-2.7477396061668029E-2</v>
      </c>
      <c r="B24" s="1">
        <f t="shared" si="0"/>
        <v>-7.9188127009602195E-3</v>
      </c>
      <c r="C24" s="8">
        <f t="shared" si="2"/>
        <v>1.2793884864139881E-2</v>
      </c>
      <c r="D24" s="8">
        <f t="shared" si="1"/>
        <v>-4.1341348490783461E-3</v>
      </c>
      <c r="E24" s="6">
        <f t="shared" si="5"/>
        <v>-2.3343261212589683E-2</v>
      </c>
      <c r="F24" s="2">
        <f t="shared" si="3"/>
        <v>0.56293587892842645</v>
      </c>
    </row>
    <row r="25" spans="1:11" x14ac:dyDescent="0.3">
      <c r="A25" s="1">
        <v>-1.3575110397984996E-3</v>
      </c>
      <c r="B25" s="1">
        <f t="shared" si="0"/>
        <v>-2.7477396061668029E-2</v>
      </c>
      <c r="C25" s="8">
        <f t="shared" si="2"/>
        <v>-7.9188127009602195E-3</v>
      </c>
      <c r="D25" s="8">
        <f t="shared" si="1"/>
        <v>1.6079687339892595E-3</v>
      </c>
      <c r="E25" s="6">
        <f t="shared" si="5"/>
        <v>-2.9654797737877592E-3</v>
      </c>
      <c r="F25" s="2">
        <f t="shared" si="3"/>
        <v>9.0850182127247096E-3</v>
      </c>
    </row>
    <row r="26" spans="1:11" x14ac:dyDescent="0.3">
      <c r="A26" s="1">
        <v>1.9833145295887904E-2</v>
      </c>
      <c r="B26" s="1">
        <f t="shared" si="0"/>
        <v>-1.3575110397984996E-3</v>
      </c>
      <c r="C26" s="8">
        <f t="shared" si="2"/>
        <v>-2.7477396061668029E-2</v>
      </c>
      <c r="D26" s="8">
        <f t="shared" si="1"/>
        <v>7.4373166777871565E-4</v>
      </c>
      <c r="E26" s="6">
        <f t="shared" si="5"/>
        <v>1.9089413628109189E-2</v>
      </c>
      <c r="F26" s="2">
        <f t="shared" si="3"/>
        <v>0.37646191441296145</v>
      </c>
    </row>
    <row r="27" spans="1:11" x14ac:dyDescent="0.3">
      <c r="A27" s="1">
        <v>9.3506707975504217E-3</v>
      </c>
      <c r="B27" s="1">
        <f t="shared" si="0"/>
        <v>1.9833145295887904E-2</v>
      </c>
      <c r="C27" s="8">
        <f t="shared" si="2"/>
        <v>-1.3575110397984996E-3</v>
      </c>
      <c r="D27" s="8">
        <f t="shared" si="1"/>
        <v>-6.0076245117672202E-3</v>
      </c>
      <c r="E27" s="6">
        <f t="shared" si="5"/>
        <v>1.5358295309317642E-2</v>
      </c>
      <c r="F27" s="2">
        <f t="shared" si="3"/>
        <v>0.2436811287422295</v>
      </c>
    </row>
    <row r="28" spans="1:11" x14ac:dyDescent="0.3">
      <c r="A28" s="1">
        <v>-1.0213298523325132E-2</v>
      </c>
      <c r="B28" s="1">
        <f t="shared" si="0"/>
        <v>9.3506707975504217E-3</v>
      </c>
      <c r="C28" s="8">
        <f t="shared" si="2"/>
        <v>1.9833145295887904E-2</v>
      </c>
      <c r="D28" s="8">
        <f t="shared" si="1"/>
        <v>-7.583222677526584E-3</v>
      </c>
      <c r="E28" s="6">
        <f t="shared" si="5"/>
        <v>-2.6300758457985483E-3</v>
      </c>
      <c r="F28" s="2">
        <f t="shared" si="3"/>
        <v>7.1461547295475474E-3</v>
      </c>
    </row>
    <row r="29" spans="1:11" x14ac:dyDescent="0.3">
      <c r="A29" s="1">
        <v>-4.5648738566212805E-3</v>
      </c>
      <c r="B29" s="1">
        <f t="shared" si="0"/>
        <v>-1.0213298523325132E-2</v>
      </c>
      <c r="C29" s="8">
        <f t="shared" si="2"/>
        <v>9.3506707975504217E-3</v>
      </c>
      <c r="D29" s="8">
        <f t="shared" si="1"/>
        <v>-3.3144913258261618E-3</v>
      </c>
      <c r="E29" s="6">
        <f t="shared" si="5"/>
        <v>-1.2503825307951188E-3</v>
      </c>
      <c r="F29" s="2">
        <f t="shared" si="3"/>
        <v>1.6151827388817678E-3</v>
      </c>
    </row>
    <row r="30" spans="1:11" x14ac:dyDescent="0.3">
      <c r="A30" s="1">
        <v>-1.8942494305017977E-2</v>
      </c>
      <c r="B30" s="1">
        <f t="shared" si="0"/>
        <v>-4.5648738566212805E-3</v>
      </c>
      <c r="C30" s="8">
        <f t="shared" si="2"/>
        <v>-1.0213298523325132E-2</v>
      </c>
      <c r="D30" s="8">
        <f t="shared" si="1"/>
        <v>-1.2917570888873115E-3</v>
      </c>
      <c r="E30" s="6">
        <f t="shared" si="5"/>
        <v>-1.7650737216130665E-2</v>
      </c>
      <c r="F30" s="2">
        <f t="shared" si="3"/>
        <v>0.32185596933305366</v>
      </c>
    </row>
    <row r="31" spans="1:11" x14ac:dyDescent="0.3">
      <c r="A31" s="1">
        <v>2.1920177494472875E-2</v>
      </c>
      <c r="B31" s="1">
        <f t="shared" si="0"/>
        <v>-1.8942494305017977E-2</v>
      </c>
      <c r="C31" s="8">
        <f t="shared" si="2"/>
        <v>-4.5648738566212805E-3</v>
      </c>
      <c r="D31" s="8">
        <f t="shared" si="1"/>
        <v>-7.8623689233384446E-5</v>
      </c>
      <c r="E31" s="6">
        <f t="shared" si="5"/>
        <v>2.199880118370626E-2</v>
      </c>
      <c r="F31" s="2">
        <f t="shared" si="3"/>
        <v>0.49995843424822617</v>
      </c>
    </row>
    <row r="32" spans="1:11" x14ac:dyDescent="0.3">
      <c r="A32" s="1">
        <v>1.3702875903593374E-3</v>
      </c>
      <c r="B32" s="1">
        <f t="shared" si="0"/>
        <v>2.1920177494472875E-2</v>
      </c>
      <c r="C32" s="8">
        <f t="shared" si="2"/>
        <v>-1.8942494305017977E-2</v>
      </c>
      <c r="D32" s="8">
        <f t="shared" si="1"/>
        <v>-3.7679462329627753E-3</v>
      </c>
      <c r="E32" s="6">
        <f t="shared" si="5"/>
        <v>5.1382338233221126E-3</v>
      </c>
      <c r="F32" s="2">
        <f t="shared" si="3"/>
        <v>2.7274927008194359E-2</v>
      </c>
    </row>
    <row r="33" spans="1:6" x14ac:dyDescent="0.3">
      <c r="A33" s="1">
        <v>-1.6917962310008368E-2</v>
      </c>
      <c r="B33" s="1">
        <f t="shared" si="0"/>
        <v>1.3702875903593374E-3</v>
      </c>
      <c r="C33" s="8">
        <f t="shared" si="2"/>
        <v>2.1920177494472875E-2</v>
      </c>
      <c r="D33" s="8">
        <f t="shared" si="1"/>
        <v>-6.7588305229050755E-3</v>
      </c>
      <c r="E33" s="6">
        <f t="shared" si="5"/>
        <v>-1.0159131787103292E-2</v>
      </c>
      <c r="F33" s="2">
        <f t="shared" si="3"/>
        <v>0.10662254830901234</v>
      </c>
    </row>
    <row r="34" spans="1:6" x14ac:dyDescent="0.3">
      <c r="A34" s="1">
        <v>-1.4971719076703981E-2</v>
      </c>
      <c r="B34" s="1">
        <f t="shared" si="0"/>
        <v>-1.6917962310008368E-2</v>
      </c>
      <c r="C34" s="8">
        <f t="shared" si="2"/>
        <v>1.3702875903593374E-3</v>
      </c>
      <c r="D34" s="8">
        <f t="shared" si="1"/>
        <v>-1.2192864297914821E-3</v>
      </c>
      <c r="E34" s="6">
        <f t="shared" si="5"/>
        <v>-1.3752432646912499E-2</v>
      </c>
      <c r="F34" s="2">
        <f t="shared" si="3"/>
        <v>0.1953866663366256</v>
      </c>
    </row>
    <row r="35" spans="1:6" x14ac:dyDescent="0.3">
      <c r="A35" s="1">
        <v>-3.5015837555854454E-2</v>
      </c>
      <c r="B35" s="1">
        <f t="shared" ref="B35:B66" si="6">A34</f>
        <v>-1.4971719076703981E-2</v>
      </c>
      <c r="C35" s="8">
        <f t="shared" si="2"/>
        <v>-1.6917962310008368E-2</v>
      </c>
      <c r="D35" s="8">
        <f t="shared" si="1"/>
        <v>1.1415788898669951E-3</v>
      </c>
      <c r="E35" s="6">
        <f t="shared" si="5"/>
        <v>-3.6157416445721451E-2</v>
      </c>
      <c r="F35" s="2">
        <f t="shared" si="3"/>
        <v>1.3506121502091923</v>
      </c>
    </row>
    <row r="36" spans="1:6" x14ac:dyDescent="0.3">
      <c r="A36" s="1">
        <v>1.5239431408189575E-2</v>
      </c>
      <c r="B36" s="1">
        <f t="shared" si="6"/>
        <v>-3.5015837555854454E-2</v>
      </c>
      <c r="C36" s="8">
        <f t="shared" si="2"/>
        <v>-1.4971719076703981E-2</v>
      </c>
      <c r="D36" s="8">
        <f t="shared" ref="D36:D67" si="7">$I$8+$I$9*B36+$I$10*C36</f>
        <v>3.6870793924815843E-3</v>
      </c>
      <c r="E36" s="6">
        <f t="shared" si="5"/>
        <v>1.1552352015707991E-2</v>
      </c>
      <c r="F36" s="2">
        <f t="shared" si="3"/>
        <v>0.13787219749323995</v>
      </c>
    </row>
    <row r="37" spans="1:6" x14ac:dyDescent="0.3">
      <c r="A37" s="1">
        <v>-3.0106372549497117E-2</v>
      </c>
      <c r="B37" s="1">
        <f t="shared" si="6"/>
        <v>1.5239431408189575E-2</v>
      </c>
      <c r="C37" s="8">
        <f t="shared" si="2"/>
        <v>-3.5015837555854454E-2</v>
      </c>
      <c r="D37" s="8">
        <f t="shared" si="7"/>
        <v>-5.0995232679779297E-4</v>
      </c>
      <c r="E37" s="6">
        <f t="shared" si="5"/>
        <v>-2.9596420222699323E-2</v>
      </c>
      <c r="F37" s="2">
        <f t="shared" si="3"/>
        <v>0.90492844493457791</v>
      </c>
    </row>
    <row r="38" spans="1:6" x14ac:dyDescent="0.3">
      <c r="A38" s="1">
        <v>-0.11502016748465382</v>
      </c>
      <c r="B38" s="1">
        <f t="shared" si="6"/>
        <v>-3.0106372549497117E-2</v>
      </c>
      <c r="C38" s="8">
        <f t="shared" si="2"/>
        <v>1.5239431408189575E-2</v>
      </c>
      <c r="D38" s="8">
        <f t="shared" si="7"/>
        <v>-1.3583859846144149E-3</v>
      </c>
      <c r="E38" s="6">
        <f t="shared" si="5"/>
        <v>-0.1136617815000394</v>
      </c>
      <c r="F38" s="2">
        <f t="shared" si="3"/>
        <v>13.346419990872532</v>
      </c>
    </row>
    <row r="39" spans="1:6" x14ac:dyDescent="0.3">
      <c r="A39" s="1">
        <v>8.0994983742242524E-2</v>
      </c>
      <c r="B39" s="1">
        <f t="shared" si="6"/>
        <v>-0.11502016748465382</v>
      </c>
      <c r="C39" s="8">
        <f t="shared" si="2"/>
        <v>-3.0106372549497117E-2</v>
      </c>
      <c r="D39" s="8">
        <f t="shared" si="7"/>
        <v>1.7147432021563082E-2</v>
      </c>
      <c r="E39" s="6">
        <f t="shared" si="5"/>
        <v>6.3847551720679435E-2</v>
      </c>
      <c r="F39" s="2">
        <f t="shared" si="3"/>
        <v>4.2113793855433501</v>
      </c>
    </row>
    <row r="40" spans="1:6" x14ac:dyDescent="0.3">
      <c r="A40" s="1">
        <v>1.4657775286877854E-2</v>
      </c>
      <c r="B40" s="1">
        <f t="shared" si="6"/>
        <v>8.0994983742242524E-2</v>
      </c>
      <c r="C40" s="8">
        <f t="shared" si="2"/>
        <v>-0.11502016748465382</v>
      </c>
      <c r="D40" s="8">
        <f t="shared" si="7"/>
        <v>1.7476996614745176E-3</v>
      </c>
      <c r="E40" s="6">
        <f t="shared" si="5"/>
        <v>1.2910075625403337E-2</v>
      </c>
      <c r="F40" s="2">
        <f t="shared" si="3"/>
        <v>0.17218425759140221</v>
      </c>
    </row>
    <row r="41" spans="1:6" x14ac:dyDescent="0.3">
      <c r="A41" s="1">
        <v>-1.6572555481786828E-2</v>
      </c>
      <c r="B41" s="1">
        <f t="shared" si="6"/>
        <v>1.4657775286877854E-2</v>
      </c>
      <c r="C41" s="8">
        <f t="shared" si="2"/>
        <v>8.0994983742242524E-2</v>
      </c>
      <c r="D41" s="8">
        <f t="shared" si="7"/>
        <v>-1.714461209924098E-2</v>
      </c>
      <c r="E41" s="6">
        <f t="shared" si="5"/>
        <v>5.7205661745415165E-4</v>
      </c>
      <c r="F41" s="2">
        <f t="shared" si="3"/>
        <v>3.3807565443371378E-4</v>
      </c>
    </row>
    <row r="42" spans="1:6" x14ac:dyDescent="0.3">
      <c r="A42" s="1">
        <v>3.8374479400262541E-2</v>
      </c>
      <c r="B42" s="1">
        <f t="shared" si="6"/>
        <v>-1.6572555481786828E-2</v>
      </c>
      <c r="C42" s="8">
        <f t="shared" si="2"/>
        <v>1.4657775286877854E-2</v>
      </c>
      <c r="D42" s="8">
        <f t="shared" si="7"/>
        <v>-3.1826544479184632E-3</v>
      </c>
      <c r="E42" s="6">
        <f t="shared" si="5"/>
        <v>4.1557133848181008E-2</v>
      </c>
      <c r="F42" s="2">
        <f t="shared" si="3"/>
        <v>1.7841322513894489</v>
      </c>
    </row>
    <row r="43" spans="1:6" x14ac:dyDescent="0.3">
      <c r="A43" s="1">
        <v>-1.6973310043301812E-2</v>
      </c>
      <c r="B43" s="1">
        <f t="shared" si="6"/>
        <v>3.8374479400262541E-2</v>
      </c>
      <c r="C43" s="8">
        <f t="shared" si="2"/>
        <v>-1.6572555481786828E-2</v>
      </c>
      <c r="D43" s="8">
        <f t="shared" si="7"/>
        <v>-6.4292752752555214E-3</v>
      </c>
      <c r="E43" s="6">
        <f t="shared" si="5"/>
        <v>-1.0544034768046291E-2</v>
      </c>
      <c r="F43" s="2">
        <f t="shared" si="3"/>
        <v>0.11485490009238312</v>
      </c>
    </row>
    <row r="44" spans="1:6" x14ac:dyDescent="0.3">
      <c r="A44" s="1">
        <v>-4.6241860281677184E-2</v>
      </c>
      <c r="B44" s="1">
        <f t="shared" si="6"/>
        <v>-1.6973310043301812E-2</v>
      </c>
      <c r="C44" s="8">
        <f t="shared" si="2"/>
        <v>3.8374479400262541E-2</v>
      </c>
      <c r="D44" s="8">
        <f t="shared" si="7"/>
        <v>-6.5436296135429487E-3</v>
      </c>
      <c r="E44" s="6">
        <f t="shared" si="5"/>
        <v>-3.9698230668134236E-2</v>
      </c>
      <c r="F44" s="2">
        <f t="shared" si="3"/>
        <v>1.62808911060546</v>
      </c>
    </row>
    <row r="45" spans="1:6" x14ac:dyDescent="0.3">
      <c r="A45" s="1">
        <v>8.4023858956866586E-3</v>
      </c>
      <c r="B45" s="1">
        <f t="shared" si="6"/>
        <v>-4.6241860281677184E-2</v>
      </c>
      <c r="C45" s="8">
        <f t="shared" si="2"/>
        <v>-1.6973310043301812E-2</v>
      </c>
      <c r="D45" s="8">
        <f t="shared" si="7"/>
        <v>5.5582154020802944E-3</v>
      </c>
      <c r="E45" s="6">
        <f t="shared" si="5"/>
        <v>2.8441704936063641E-3</v>
      </c>
      <c r="F45" s="2">
        <f t="shared" si="3"/>
        <v>8.3569368993322655E-3</v>
      </c>
    </row>
    <row r="46" spans="1:6" x14ac:dyDescent="0.3">
      <c r="A46" s="1">
        <v>-1.396833569489795E-2</v>
      </c>
      <c r="B46" s="1">
        <f t="shared" si="6"/>
        <v>8.4023858956866586E-3</v>
      </c>
      <c r="C46" s="8">
        <f t="shared" si="2"/>
        <v>-4.6241860281677184E-2</v>
      </c>
      <c r="D46" s="8">
        <f t="shared" si="7"/>
        <v>2.0715994102673803E-3</v>
      </c>
      <c r="E46" s="6">
        <f t="shared" si="5"/>
        <v>-1.603993510516533E-2</v>
      </c>
      <c r="F46" s="2">
        <f t="shared" si="3"/>
        <v>0.26579149718635592</v>
      </c>
    </row>
    <row r="47" spans="1:6" x14ac:dyDescent="0.3">
      <c r="A47" s="1">
        <v>3.3573947052215891E-2</v>
      </c>
      <c r="B47" s="1">
        <f t="shared" si="6"/>
        <v>-1.396833569489795E-2</v>
      </c>
      <c r="C47" s="8">
        <f t="shared" si="2"/>
        <v>8.4023858956866586E-3</v>
      </c>
      <c r="D47" s="8">
        <f t="shared" si="7"/>
        <v>-2.6484387569747085E-3</v>
      </c>
      <c r="E47" s="6">
        <f t="shared" si="5"/>
        <v>3.6222385809190599E-2</v>
      </c>
      <c r="F47" s="2">
        <f t="shared" si="3"/>
        <v>1.3554701990181757</v>
      </c>
    </row>
    <row r="48" spans="1:6" x14ac:dyDescent="0.3">
      <c r="A48" s="1">
        <v>-1.5113404102073467E-3</v>
      </c>
      <c r="B48" s="1">
        <f t="shared" si="6"/>
        <v>3.3573947052215891E-2</v>
      </c>
      <c r="C48" s="8">
        <f t="shared" si="2"/>
        <v>-1.396833569489795E-2</v>
      </c>
      <c r="D48" s="8">
        <f t="shared" si="7"/>
        <v>-6.1277230192505775E-3</v>
      </c>
      <c r="E48" s="6">
        <f t="shared" si="5"/>
        <v>4.6163826090432312E-3</v>
      </c>
      <c r="F48" s="2">
        <f t="shared" si="3"/>
        <v>2.201605301359413E-2</v>
      </c>
    </row>
    <row r="49" spans="1:6" x14ac:dyDescent="0.3">
      <c r="A49" s="1">
        <v>3.158293952718072E-2</v>
      </c>
      <c r="B49" s="1">
        <f t="shared" si="6"/>
        <v>-1.5113404102073467E-3</v>
      </c>
      <c r="C49" s="8">
        <f t="shared" si="2"/>
        <v>3.3573947052215891E-2</v>
      </c>
      <c r="D49" s="8">
        <f t="shared" si="7"/>
        <v>-8.0318190521631479E-3</v>
      </c>
      <c r="E49" s="6">
        <f t="shared" si="5"/>
        <v>3.9614758579343864E-2</v>
      </c>
      <c r="F49" s="2">
        <f t="shared" si="3"/>
        <v>1.6212496560295735</v>
      </c>
    </row>
    <row r="50" spans="1:6" x14ac:dyDescent="0.3">
      <c r="A50" s="1">
        <v>-3.063428114804579E-2</v>
      </c>
      <c r="B50" s="1">
        <f t="shared" si="6"/>
        <v>3.158293952718072E-2</v>
      </c>
      <c r="C50" s="8">
        <f t="shared" si="2"/>
        <v>-1.5113404102073467E-3</v>
      </c>
      <c r="D50" s="8">
        <f t="shared" si="7"/>
        <v>-7.6420182302044852E-3</v>
      </c>
      <c r="E50" s="6">
        <f t="shared" si="5"/>
        <v>-2.2992262917841306E-2</v>
      </c>
      <c r="F50" s="2">
        <f t="shared" si="3"/>
        <v>0.5461341119871308</v>
      </c>
    </row>
    <row r="51" spans="1:6" x14ac:dyDescent="0.3">
      <c r="A51" s="1">
        <v>1.3992932372128628E-2</v>
      </c>
      <c r="B51" s="1">
        <f t="shared" si="6"/>
        <v>-3.063428114804579E-2</v>
      </c>
      <c r="C51" s="8">
        <f t="shared" si="2"/>
        <v>3.158293952718072E-2</v>
      </c>
      <c r="D51" s="8">
        <f t="shared" si="7"/>
        <v>-3.6389880309366397E-3</v>
      </c>
      <c r="E51" s="6">
        <f t="shared" si="5"/>
        <v>1.7631920403065268E-2</v>
      </c>
      <c r="F51" s="2">
        <f t="shared" si="3"/>
        <v>0.32117009708515837</v>
      </c>
    </row>
    <row r="52" spans="1:6" x14ac:dyDescent="0.3">
      <c r="A52" s="1">
        <v>2.9627782859256067E-2</v>
      </c>
      <c r="B52" s="1">
        <f t="shared" si="6"/>
        <v>1.3992932372128628E-2</v>
      </c>
      <c r="C52" s="8">
        <f t="shared" si="2"/>
        <v>-3.063428114804579E-2</v>
      </c>
      <c r="D52" s="8">
        <f t="shared" si="7"/>
        <v>-9.6557667371932089E-4</v>
      </c>
      <c r="E52" s="6">
        <f t="shared" si="5"/>
        <v>3.0593359532975387E-2</v>
      </c>
      <c r="F52" s="2">
        <f t="shared" si="3"/>
        <v>0.96691925976680226</v>
      </c>
    </row>
    <row r="53" spans="1:6" x14ac:dyDescent="0.3">
      <c r="A53" s="1">
        <v>3.1168300846664793E-2</v>
      </c>
      <c r="B53" s="1">
        <f t="shared" si="6"/>
        <v>2.9627782859256067E-2</v>
      </c>
      <c r="C53" s="8">
        <f t="shared" si="2"/>
        <v>1.3992932372128628E-2</v>
      </c>
      <c r="D53" s="8">
        <f t="shared" si="7"/>
        <v>-9.6004676308266822E-3</v>
      </c>
      <c r="E53" s="6">
        <f t="shared" si="5"/>
        <v>4.0768768477491474E-2</v>
      </c>
      <c r="F53" s="2">
        <f t="shared" si="3"/>
        <v>1.717082077473395</v>
      </c>
    </row>
    <row r="54" spans="1:6" x14ac:dyDescent="0.3">
      <c r="A54" s="1">
        <v>-1.2323361977112295E-2</v>
      </c>
      <c r="B54" s="1">
        <f t="shared" si="6"/>
        <v>3.1168300846664793E-2</v>
      </c>
      <c r="C54" s="8">
        <f t="shared" si="2"/>
        <v>2.9627782859256067E-2</v>
      </c>
      <c r="D54" s="8">
        <f t="shared" si="7"/>
        <v>-1.2070574916998322E-2</v>
      </c>
      <c r="E54" s="6">
        <f t="shared" si="5"/>
        <v>-2.5278706011397367E-4</v>
      </c>
      <c r="F54" s="2">
        <f t="shared" si="3"/>
        <v>6.6015443920101142E-5</v>
      </c>
    </row>
    <row r="55" spans="1:6" x14ac:dyDescent="0.3">
      <c r="A55" s="1">
        <v>-2.9673470715366767E-3</v>
      </c>
      <c r="B55" s="1">
        <f t="shared" si="6"/>
        <v>-1.2323361977112295E-2</v>
      </c>
      <c r="C55" s="8">
        <f t="shared" si="2"/>
        <v>3.1168300846664793E-2</v>
      </c>
      <c r="D55" s="8">
        <f t="shared" si="7"/>
        <v>-6.1608288900254389E-3</v>
      </c>
      <c r="E55" s="6">
        <f t="shared" si="5"/>
        <v>3.1934818184887622E-3</v>
      </c>
      <c r="F55" s="2">
        <f t="shared" si="3"/>
        <v>1.0535733231935211E-2</v>
      </c>
    </row>
    <row r="56" spans="1:6" x14ac:dyDescent="0.3">
      <c r="A56" s="1">
        <v>1.3515258303113488E-2</v>
      </c>
      <c r="B56" s="1">
        <f t="shared" si="6"/>
        <v>-2.9673470715366767E-3</v>
      </c>
      <c r="C56" s="8">
        <f t="shared" si="2"/>
        <v>-1.2323361977112295E-2</v>
      </c>
      <c r="D56" s="8">
        <f t="shared" si="7"/>
        <v>-1.2129353027359601E-3</v>
      </c>
      <c r="E56" s="6">
        <f t="shared" si="5"/>
        <v>1.4728193605849448E-2</v>
      </c>
      <c r="F56" s="2">
        <f t="shared" si="3"/>
        <v>0.22409637874160862</v>
      </c>
    </row>
    <row r="57" spans="1:6" x14ac:dyDescent="0.3">
      <c r="A57" s="1">
        <v>-3.111461044623248E-4</v>
      </c>
      <c r="B57" s="1">
        <f t="shared" si="6"/>
        <v>1.3515258303113488E-2</v>
      </c>
      <c r="C57" s="8">
        <f t="shared" si="2"/>
        <v>-2.9673470715366767E-3</v>
      </c>
      <c r="D57" s="8">
        <f t="shared" si="7"/>
        <v>-4.8849185588863185E-3</v>
      </c>
      <c r="E57" s="6">
        <f t="shared" si="5"/>
        <v>4.5737724544239935E-3</v>
      </c>
      <c r="F57" s="2">
        <f t="shared" si="3"/>
        <v>2.16115033735364E-2</v>
      </c>
    </row>
    <row r="58" spans="1:6" x14ac:dyDescent="0.3">
      <c r="A58" s="1">
        <v>8.4232572890857501E-3</v>
      </c>
      <c r="B58" s="1">
        <f t="shared" si="6"/>
        <v>-3.111461044623248E-4</v>
      </c>
      <c r="C58" s="8">
        <f t="shared" si="2"/>
        <v>1.3515258303113488E-2</v>
      </c>
      <c r="D58" s="8">
        <f t="shared" si="7"/>
        <v>-5.3106583648205594E-3</v>
      </c>
      <c r="E58" s="6">
        <f t="shared" si="5"/>
        <v>1.373391565390631E-2</v>
      </c>
      <c r="F58" s="2">
        <f t="shared" si="3"/>
        <v>0.1948608629514795</v>
      </c>
    </row>
    <row r="59" spans="1:6" x14ac:dyDescent="0.3">
      <c r="A59" s="1">
        <v>-1.091591751034509E-2</v>
      </c>
      <c r="B59" s="1">
        <f t="shared" si="6"/>
        <v>8.4232572890857501E-3</v>
      </c>
      <c r="C59" s="8">
        <f t="shared" si="2"/>
        <v>-3.111461044623248E-4</v>
      </c>
      <c r="D59" s="8">
        <f t="shared" si="7"/>
        <v>-4.5497634842418585E-3</v>
      </c>
      <c r="E59" s="6">
        <f t="shared" si="5"/>
        <v>-6.3661540261032313E-3</v>
      </c>
      <c r="F59" s="2">
        <f t="shared" si="3"/>
        <v>4.1868765286517957E-2</v>
      </c>
    </row>
    <row r="60" spans="1:6" x14ac:dyDescent="0.3">
      <c r="A60" s="1">
        <v>3.5576983287093039E-3</v>
      </c>
      <c r="B60" s="1">
        <f t="shared" si="6"/>
        <v>-1.091591751034509E-2</v>
      </c>
      <c r="C60" s="8">
        <f t="shared" si="2"/>
        <v>8.4232572890857501E-3</v>
      </c>
      <c r="D60" s="8">
        <f t="shared" si="7"/>
        <v>-3.0817953457135845E-3</v>
      </c>
      <c r="E60" s="6">
        <f t="shared" si="5"/>
        <v>6.6394936744228888E-3</v>
      </c>
      <c r="F60" s="2">
        <f t="shared" si="3"/>
        <v>4.5541338706114605E-2</v>
      </c>
    </row>
    <row r="61" spans="1:6" x14ac:dyDescent="0.3">
      <c r="A61" s="1">
        <v>2.2559098370259743E-2</v>
      </c>
      <c r="B61" s="1">
        <f t="shared" si="6"/>
        <v>3.5576983287093039E-3</v>
      </c>
      <c r="C61" s="8">
        <f t="shared" si="2"/>
        <v>-1.091591751034509E-2</v>
      </c>
      <c r="D61" s="8">
        <f t="shared" si="7"/>
        <v>-2.3356839879371911E-3</v>
      </c>
      <c r="E61" s="6">
        <f t="shared" si="5"/>
        <v>2.4894782358196935E-2</v>
      </c>
      <c r="F61" s="2">
        <f t="shared" si="3"/>
        <v>0.64025434940408599</v>
      </c>
    </row>
    <row r="62" spans="1:6" x14ac:dyDescent="0.3">
      <c r="A62" s="1">
        <v>3.6772182861519631E-3</v>
      </c>
      <c r="B62" s="1">
        <f t="shared" si="6"/>
        <v>2.2559098370259743E-2</v>
      </c>
      <c r="C62" s="8">
        <f t="shared" si="2"/>
        <v>3.5576983287093039E-3</v>
      </c>
      <c r="D62" s="8">
        <f t="shared" si="7"/>
        <v>-7.1002072557795641E-3</v>
      </c>
      <c r="E62" s="6">
        <f t="shared" si="5"/>
        <v>1.0777425541931528E-2</v>
      </c>
      <c r="F62" s="2">
        <f t="shared" si="3"/>
        <v>0.11999576865218654</v>
      </c>
    </row>
    <row r="63" spans="1:6" x14ac:dyDescent="0.3">
      <c r="A63" s="1">
        <v>-2.157014119005975E-2</v>
      </c>
      <c r="B63" s="1">
        <f t="shared" si="6"/>
        <v>3.6772182861519631E-3</v>
      </c>
      <c r="C63" s="8">
        <f t="shared" si="2"/>
        <v>2.2559098370259743E-2</v>
      </c>
      <c r="D63" s="8">
        <f t="shared" si="7"/>
        <v>-7.1761418961255406E-3</v>
      </c>
      <c r="E63" s="6">
        <f t="shared" si="5"/>
        <v>-1.439399929393421E-2</v>
      </c>
      <c r="F63" s="2">
        <f t="shared" si="3"/>
        <v>0.21404191302054884</v>
      </c>
    </row>
    <row r="64" spans="1:6" x14ac:dyDescent="0.3">
      <c r="A64" s="1">
        <v>1.4779717410937317E-2</v>
      </c>
      <c r="B64" s="1">
        <f t="shared" si="6"/>
        <v>-2.157014119005975E-2</v>
      </c>
      <c r="C64" s="8">
        <f t="shared" si="2"/>
        <v>3.6772182861519631E-3</v>
      </c>
      <c r="D64" s="8">
        <f t="shared" si="7"/>
        <v>-8.9581188657526518E-4</v>
      </c>
      <c r="E64" s="6">
        <f t="shared" si="5"/>
        <v>1.5675529297512581E-2</v>
      </c>
      <c r="F64" s="2">
        <f t="shared" si="3"/>
        <v>0.25385182962857855</v>
      </c>
    </row>
    <row r="65" spans="1:6" x14ac:dyDescent="0.3">
      <c r="A65" s="1">
        <v>-3.2480480135294036E-3</v>
      </c>
      <c r="B65" s="1">
        <f t="shared" si="6"/>
        <v>1.4779717410937317E-2</v>
      </c>
      <c r="C65" s="8">
        <f t="shared" si="2"/>
        <v>-2.157014119005975E-2</v>
      </c>
      <c r="D65" s="8">
        <f t="shared" si="7"/>
        <v>-2.382606543701371E-3</v>
      </c>
      <c r="E65" s="6">
        <f t="shared" si="5"/>
        <v>-8.654414698280326E-4</v>
      </c>
      <c r="F65" s="2">
        <f t="shared" si="3"/>
        <v>7.7376890526175714E-4</v>
      </c>
    </row>
    <row r="66" spans="1:6" x14ac:dyDescent="0.3">
      <c r="A66" s="1">
        <v>-1.6023588220961671E-2</v>
      </c>
      <c r="B66" s="1">
        <f t="shared" si="6"/>
        <v>-3.2480480135294036E-3</v>
      </c>
      <c r="C66" s="8">
        <f t="shared" si="2"/>
        <v>1.4779717410937317E-2</v>
      </c>
      <c r="D66" s="8">
        <f t="shared" si="7"/>
        <v>-5.0787986385564046E-3</v>
      </c>
      <c r="E66" s="6">
        <f t="shared" si="5"/>
        <v>-1.0944789582405266E-2</v>
      </c>
      <c r="F66" s="2">
        <f t="shared" si="3"/>
        <v>0.12375156583747308</v>
      </c>
    </row>
    <row r="67" spans="1:6" x14ac:dyDescent="0.3">
      <c r="A67" s="1">
        <v>-7.4067235146407992E-3</v>
      </c>
      <c r="B67" s="1">
        <f t="shared" ref="B67:B98" si="8">A66</f>
        <v>-1.6023588220961671E-2</v>
      </c>
      <c r="C67" s="8">
        <f t="shared" si="2"/>
        <v>-3.2480480135294036E-3</v>
      </c>
      <c r="D67" s="8">
        <f t="shared" si="7"/>
        <v>-6.7989841979597962E-4</v>
      </c>
      <c r="E67" s="6">
        <f t="shared" si="5"/>
        <v>-6.72682509484482E-3</v>
      </c>
      <c r="F67" s="2">
        <f t="shared" si="3"/>
        <v>4.6747257900893645E-2</v>
      </c>
    </row>
    <row r="68" spans="1:6" x14ac:dyDescent="0.3">
      <c r="A68" s="1">
        <v>-1.4907850564389136E-2</v>
      </c>
      <c r="B68" s="1">
        <f t="shared" si="8"/>
        <v>-7.4067235146407992E-3</v>
      </c>
      <c r="C68" s="8">
        <f t="shared" si="2"/>
        <v>-1.6023588220961671E-2</v>
      </c>
      <c r="D68" s="8">
        <f t="shared" ref="D68:D99" si="9">$I$8+$I$9*B68+$I$10*C68</f>
        <v>-5.3857252059049017E-5</v>
      </c>
      <c r="E68" s="6">
        <f t="shared" si="5"/>
        <v>-1.4853993312330088E-2</v>
      </c>
      <c r="F68" s="2">
        <f t="shared" si="3"/>
        <v>0.2279409310519977</v>
      </c>
    </row>
    <row r="69" spans="1:6" x14ac:dyDescent="0.3">
      <c r="A69" s="1">
        <v>4.0560403541146338E-3</v>
      </c>
      <c r="B69" s="1">
        <f t="shared" si="8"/>
        <v>-1.4907850564389136E-2</v>
      </c>
      <c r="C69" s="8">
        <f t="shared" ref="C69:C110" si="10">A67</f>
        <v>-7.4067235146407992E-3</v>
      </c>
      <c r="D69" s="8">
        <f t="shared" si="9"/>
        <v>-2.3795470084558845E-4</v>
      </c>
      <c r="E69" s="6">
        <f t="shared" ref="E69:E110" si="11">A69-D69</f>
        <v>4.2939950549602222E-3</v>
      </c>
      <c r="F69" s="2">
        <f t="shared" ref="F69:F110" si="12">((E69)^2)/ (2*$I$11)</f>
        <v>1.904841962273332E-2</v>
      </c>
    </row>
    <row r="70" spans="1:6" x14ac:dyDescent="0.3">
      <c r="A70" s="1">
        <v>1.7391660022175265E-2</v>
      </c>
      <c r="B70" s="1">
        <f t="shared" si="8"/>
        <v>4.0560403541146338E-3</v>
      </c>
      <c r="C70" s="8">
        <f t="shared" si="10"/>
        <v>-1.4907850564389136E-2</v>
      </c>
      <c r="D70" s="8">
        <f t="shared" si="9"/>
        <v>-1.8307228271458166E-3</v>
      </c>
      <c r="E70" s="6">
        <f t="shared" si="11"/>
        <v>1.9222382849321082E-2</v>
      </c>
      <c r="F70" s="2">
        <f t="shared" si="12"/>
        <v>0.38172474647556115</v>
      </c>
    </row>
    <row r="71" spans="1:6" x14ac:dyDescent="0.3">
      <c r="A71" s="1">
        <v>-1.3113199864731065E-2</v>
      </c>
      <c r="B71" s="1">
        <f t="shared" si="8"/>
        <v>1.7391660022175265E-2</v>
      </c>
      <c r="C71" s="8">
        <f t="shared" si="10"/>
        <v>4.0560403541146338E-3</v>
      </c>
      <c r="D71" s="8">
        <f t="shared" si="9"/>
        <v>-6.4434782672935145E-3</v>
      </c>
      <c r="E71" s="6">
        <f t="shared" si="11"/>
        <v>-6.6697215974375508E-3</v>
      </c>
      <c r="F71" s="2">
        <f t="shared" si="12"/>
        <v>4.5956958886896125E-2</v>
      </c>
    </row>
    <row r="72" spans="1:6" x14ac:dyDescent="0.3">
      <c r="A72" s="1">
        <v>4.9114865793835512E-3</v>
      </c>
      <c r="B72" s="1">
        <f t="shared" si="8"/>
        <v>-1.3113199864731065E-2</v>
      </c>
      <c r="C72" s="8">
        <f t="shared" si="10"/>
        <v>1.7391660022175265E-2</v>
      </c>
      <c r="D72" s="8">
        <f t="shared" si="9"/>
        <v>-4.0643173038268105E-3</v>
      </c>
      <c r="E72" s="6">
        <f t="shared" si="11"/>
        <v>8.9758038832103617E-3</v>
      </c>
      <c r="F72" s="2">
        <f t="shared" si="12"/>
        <v>8.3230514554724161E-2</v>
      </c>
    </row>
    <row r="73" spans="1:6" x14ac:dyDescent="0.3">
      <c r="A73" s="1">
        <v>-5.3127112753693327E-3</v>
      </c>
      <c r="B73" s="1">
        <f t="shared" si="8"/>
        <v>4.9114865793835512E-3</v>
      </c>
      <c r="C73" s="8">
        <f t="shared" si="10"/>
        <v>-1.3113199864731065E-2</v>
      </c>
      <c r="D73" s="8">
        <f t="shared" si="9"/>
        <v>-2.2099305383820314E-3</v>
      </c>
      <c r="E73" s="6">
        <f t="shared" si="11"/>
        <v>-3.1027807369873013E-3</v>
      </c>
      <c r="F73" s="2">
        <f t="shared" si="12"/>
        <v>9.9457615516673047E-3</v>
      </c>
    </row>
    <row r="74" spans="1:6" x14ac:dyDescent="0.3">
      <c r="A74" s="1">
        <v>-1.1846287575402419E-2</v>
      </c>
      <c r="B74" s="1">
        <f t="shared" si="8"/>
        <v>-5.3127112753693327E-3</v>
      </c>
      <c r="C74" s="8">
        <f t="shared" si="10"/>
        <v>4.9114865793835512E-3</v>
      </c>
      <c r="D74" s="8">
        <f t="shared" si="9"/>
        <v>-3.3657393905435033E-3</v>
      </c>
      <c r="E74" s="6">
        <f t="shared" si="11"/>
        <v>-8.4805481848589156E-3</v>
      </c>
      <c r="F74" s="2">
        <f t="shared" si="12"/>
        <v>7.4299128882356236E-2</v>
      </c>
    </row>
    <row r="75" spans="1:6" x14ac:dyDescent="0.3">
      <c r="A75" s="1">
        <v>-1.0062446278702496E-2</v>
      </c>
      <c r="B75" s="1">
        <f t="shared" si="8"/>
        <v>-1.1846287575402419E-2</v>
      </c>
      <c r="C75" s="8">
        <f t="shared" si="10"/>
        <v>-5.3127112753693327E-3</v>
      </c>
      <c r="D75" s="8">
        <f t="shared" si="9"/>
        <v>-9.7133134891286559E-4</v>
      </c>
      <c r="E75" s="6">
        <f t="shared" si="11"/>
        <v>-9.0911149297896298E-3</v>
      </c>
      <c r="F75" s="2">
        <f t="shared" si="12"/>
        <v>8.5382755436868088E-2</v>
      </c>
    </row>
    <row r="76" spans="1:6" x14ac:dyDescent="0.3">
      <c r="A76" s="1">
        <v>-9.3461604579627815E-3</v>
      </c>
      <c r="B76" s="1">
        <f t="shared" si="8"/>
        <v>-1.0062446278702496E-2</v>
      </c>
      <c r="C76" s="8">
        <f t="shared" si="10"/>
        <v>-1.1846287575402419E-2</v>
      </c>
      <c r="D76" s="8">
        <f t="shared" si="9"/>
        <v>-2.813679908411611E-4</v>
      </c>
      <c r="E76" s="6">
        <f t="shared" si="11"/>
        <v>-9.0647924671216212E-3</v>
      </c>
      <c r="F76" s="2">
        <f t="shared" si="12"/>
        <v>8.4889035861071119E-2</v>
      </c>
    </row>
    <row r="77" spans="1:6" x14ac:dyDescent="0.3">
      <c r="A77" s="1">
        <v>-2.771243314450459E-2</v>
      </c>
      <c r="B77" s="1">
        <f t="shared" si="8"/>
        <v>-9.3461604579627815E-3</v>
      </c>
      <c r="C77" s="8">
        <f t="shared" si="10"/>
        <v>-1.0062446278702496E-2</v>
      </c>
      <c r="D77" s="8">
        <f t="shared" si="9"/>
        <v>-6.3939840424653903E-4</v>
      </c>
      <c r="E77" s="6">
        <f t="shared" si="11"/>
        <v>-2.7073034740258052E-2</v>
      </c>
      <c r="F77" s="2">
        <f t="shared" si="12"/>
        <v>0.75719851031938834</v>
      </c>
    </row>
    <row r="78" spans="1:6" x14ac:dyDescent="0.3">
      <c r="A78" s="1">
        <v>-2.7621552263994858E-2</v>
      </c>
      <c r="B78" s="1">
        <f t="shared" si="8"/>
        <v>-2.771243314450459E-2</v>
      </c>
      <c r="C78" s="8">
        <f t="shared" si="10"/>
        <v>-9.3461604579627815E-3</v>
      </c>
      <c r="D78" s="8">
        <f t="shared" si="9"/>
        <v>1.8467804732221961E-3</v>
      </c>
      <c r="E78" s="6">
        <f t="shared" si="11"/>
        <v>-2.9468332737217055E-2</v>
      </c>
      <c r="F78" s="2">
        <f t="shared" si="12"/>
        <v>0.8971126894937379</v>
      </c>
    </row>
    <row r="79" spans="1:6" x14ac:dyDescent="0.3">
      <c r="A79" s="1">
        <v>-1.2101793129502686E-2</v>
      </c>
      <c r="B79" s="1">
        <f t="shared" si="8"/>
        <v>-2.7621552263994858E-2</v>
      </c>
      <c r="C79" s="8">
        <f t="shared" si="10"/>
        <v>-2.771243314450459E-2</v>
      </c>
      <c r="D79" s="8">
        <f t="shared" si="9"/>
        <v>4.4804691954645525E-3</v>
      </c>
      <c r="E79" s="6">
        <f t="shared" si="11"/>
        <v>-1.6582262324967238E-2</v>
      </c>
      <c r="F79" s="2">
        <f t="shared" si="12"/>
        <v>0.28406873169147634</v>
      </c>
    </row>
    <row r="80" spans="1:6" x14ac:dyDescent="0.3">
      <c r="A80" s="1">
        <v>-7.07494583715443E-3</v>
      </c>
      <c r="B80" s="1">
        <f t="shared" si="8"/>
        <v>-1.2101793129502686E-2</v>
      </c>
      <c r="C80" s="8">
        <f t="shared" si="10"/>
        <v>-2.7621552263994858E-2</v>
      </c>
      <c r="D80" s="8">
        <f t="shared" si="9"/>
        <v>2.2793004136889535E-3</v>
      </c>
      <c r="E80" s="6">
        <f t="shared" si="11"/>
        <v>-9.3542462508433843E-3</v>
      </c>
      <c r="F80" s="2">
        <f t="shared" si="12"/>
        <v>9.0396885320213116E-2</v>
      </c>
    </row>
    <row r="81" spans="1:6" x14ac:dyDescent="0.3">
      <c r="A81" s="1">
        <v>7.0603664237087031E-4</v>
      </c>
      <c r="B81" s="1">
        <f t="shared" si="8"/>
        <v>-7.07494583715443E-3</v>
      </c>
      <c r="C81" s="8">
        <f t="shared" si="10"/>
        <v>-1.2101793129502686E-2</v>
      </c>
      <c r="D81" s="8">
        <f t="shared" si="9"/>
        <v>-6.6574732678958103E-4</v>
      </c>
      <c r="E81" s="6">
        <f t="shared" si="11"/>
        <v>1.3717839691604512E-3</v>
      </c>
      <c r="F81" s="2">
        <f t="shared" si="12"/>
        <v>1.9440494890940404E-3</v>
      </c>
    </row>
    <row r="82" spans="1:6" x14ac:dyDescent="0.3">
      <c r="A82" s="1">
        <v>-1.4054857363314976E-2</v>
      </c>
      <c r="B82" s="1">
        <f t="shared" si="8"/>
        <v>7.0603664237087031E-4</v>
      </c>
      <c r="C82" s="8">
        <f t="shared" si="10"/>
        <v>-7.07494583715443E-3</v>
      </c>
      <c r="D82" s="8">
        <f t="shared" si="9"/>
        <v>-2.4871064527151694E-3</v>
      </c>
      <c r="E82" s="6">
        <f t="shared" si="11"/>
        <v>-1.1567750910599806E-2</v>
      </c>
      <c r="F82" s="2">
        <f t="shared" si="12"/>
        <v>0.13824000042573656</v>
      </c>
    </row>
    <row r="83" spans="1:6" x14ac:dyDescent="0.3">
      <c r="A83" s="1">
        <v>-1.8505920324844553E-2</v>
      </c>
      <c r="B83" s="1">
        <f t="shared" si="8"/>
        <v>-1.4054857363314976E-2</v>
      </c>
      <c r="C83" s="8">
        <f t="shared" si="10"/>
        <v>7.0603664237087031E-4</v>
      </c>
      <c r="D83" s="8">
        <f t="shared" si="9"/>
        <v>-1.5272292360608395E-3</v>
      </c>
      <c r="E83" s="6">
        <f t="shared" si="11"/>
        <v>-1.6978691088783714E-2</v>
      </c>
      <c r="F83" s="2">
        <f t="shared" si="12"/>
        <v>0.29781343336318761</v>
      </c>
    </row>
    <row r="84" spans="1:6" x14ac:dyDescent="0.3">
      <c r="A84" s="1">
        <v>-6.3190929100701192E-3</v>
      </c>
      <c r="B84" s="1">
        <f t="shared" si="8"/>
        <v>-1.8505920324844553E-2</v>
      </c>
      <c r="C84" s="8">
        <f t="shared" si="10"/>
        <v>-1.4054857363314976E-2</v>
      </c>
      <c r="D84" s="8">
        <f t="shared" si="9"/>
        <v>1.2272915754316513E-3</v>
      </c>
      <c r="E84" s="6">
        <f t="shared" si="11"/>
        <v>-7.5463844855017705E-3</v>
      </c>
      <c r="F84" s="2">
        <f t="shared" si="12"/>
        <v>5.8832015496216437E-2</v>
      </c>
    </row>
    <row r="85" spans="1:6" x14ac:dyDescent="0.3">
      <c r="A85" s="1">
        <v>-2.6108049785049416E-2</v>
      </c>
      <c r="B85" s="1">
        <f t="shared" si="8"/>
        <v>-6.3190929100701192E-3</v>
      </c>
      <c r="C85" s="8">
        <f t="shared" si="10"/>
        <v>-1.8505920324844553E-2</v>
      </c>
      <c r="D85" s="8">
        <f t="shared" si="9"/>
        <v>1.5049523109360915E-4</v>
      </c>
      <c r="E85" s="6">
        <f t="shared" si="11"/>
        <v>-2.6258545016143026E-2</v>
      </c>
      <c r="F85" s="2">
        <f t="shared" si="12"/>
        <v>0.71232335884549569</v>
      </c>
    </row>
    <row r="86" spans="1:6" x14ac:dyDescent="0.3">
      <c r="A86" s="1">
        <v>-4.0215350911148391E-4</v>
      </c>
      <c r="B86" s="1">
        <f t="shared" si="8"/>
        <v>-2.6108049785049416E-2</v>
      </c>
      <c r="C86" s="8">
        <f t="shared" si="10"/>
        <v>-6.3190929100701192E-3</v>
      </c>
      <c r="D86" s="8">
        <f t="shared" si="9"/>
        <v>1.1843968758430069E-3</v>
      </c>
      <c r="E86" s="6">
        <f t="shared" si="11"/>
        <v>-1.586550384954491E-3</v>
      </c>
      <c r="F86" s="2">
        <f t="shared" si="12"/>
        <v>2.6004206572944094E-3</v>
      </c>
    </row>
    <row r="87" spans="1:6" x14ac:dyDescent="0.3">
      <c r="A87" s="1">
        <v>-2.1647354374838886E-2</v>
      </c>
      <c r="B87" s="1">
        <f t="shared" si="8"/>
        <v>-4.0215350911148391E-4</v>
      </c>
      <c r="C87" s="8">
        <f t="shared" si="10"/>
        <v>-2.6108049785049416E-2</v>
      </c>
      <c r="D87" s="8">
        <f t="shared" si="9"/>
        <v>4.1172238861925548E-4</v>
      </c>
      <c r="E87" s="6">
        <f t="shared" si="11"/>
        <v>-2.2059076763458141E-2</v>
      </c>
      <c r="F87" s="2">
        <f t="shared" si="12"/>
        <v>0.50270190820266192</v>
      </c>
    </row>
    <row r="88" spans="1:6" x14ac:dyDescent="0.3">
      <c r="A88" s="1">
        <v>-4.7003202669176538E-3</v>
      </c>
      <c r="B88" s="1">
        <f t="shared" si="8"/>
        <v>-2.1647354374838886E-2</v>
      </c>
      <c r="C88" s="8">
        <f t="shared" si="10"/>
        <v>-4.0215350911148391E-4</v>
      </c>
      <c r="D88" s="8">
        <f t="shared" si="9"/>
        <v>-2.9710578280718613E-4</v>
      </c>
      <c r="E88" s="6">
        <f t="shared" si="11"/>
        <v>-4.4032144841104678E-3</v>
      </c>
      <c r="F88" s="2">
        <f t="shared" si="12"/>
        <v>2.0029751045919305E-2</v>
      </c>
    </row>
    <row r="89" spans="1:6" x14ac:dyDescent="0.3">
      <c r="A89" s="1">
        <v>-6.8076492675115524E-4</v>
      </c>
      <c r="B89" s="1">
        <f t="shared" si="8"/>
        <v>-4.7003202669176538E-3</v>
      </c>
      <c r="C89" s="8">
        <f t="shared" si="10"/>
        <v>-2.1647354374838886E-2</v>
      </c>
      <c r="D89" s="8">
        <f t="shared" si="9"/>
        <v>3.749377533363075E-4</v>
      </c>
      <c r="E89" s="6">
        <f t="shared" si="11"/>
        <v>-1.0557026800874629E-3</v>
      </c>
      <c r="F89" s="2">
        <f t="shared" si="12"/>
        <v>1.1513811576566082E-3</v>
      </c>
    </row>
    <row r="90" spans="1:6" x14ac:dyDescent="0.3">
      <c r="A90" s="1">
        <v>-1.5514918112054682E-2</v>
      </c>
      <c r="B90" s="1">
        <f t="shared" si="8"/>
        <v>-6.8076492675115524E-4</v>
      </c>
      <c r="C90" s="8">
        <f t="shared" si="10"/>
        <v>-4.7003202669176538E-3</v>
      </c>
      <c r="D90" s="8">
        <f t="shared" si="9"/>
        <v>-2.6337598792190047E-3</v>
      </c>
      <c r="E90" s="6">
        <f t="shared" si="11"/>
        <v>-1.2881158232835678E-2</v>
      </c>
      <c r="F90" s="2">
        <f t="shared" si="12"/>
        <v>0.17141376739012865</v>
      </c>
    </row>
    <row r="91" spans="1:6" x14ac:dyDescent="0.3">
      <c r="A91" s="1">
        <v>4.2820917534727845E-2</v>
      </c>
      <c r="B91" s="1">
        <f t="shared" si="8"/>
        <v>-1.5514918112054682E-2</v>
      </c>
      <c r="C91" s="8">
        <f t="shared" si="10"/>
        <v>-6.8076492675115524E-4</v>
      </c>
      <c r="D91" s="8">
        <f t="shared" si="9"/>
        <v>-1.1215484902371755E-3</v>
      </c>
      <c r="E91" s="6">
        <f t="shared" si="11"/>
        <v>4.3942466024965023E-2</v>
      </c>
      <c r="F91" s="2">
        <f t="shared" si="12"/>
        <v>1.994824626380878</v>
      </c>
    </row>
    <row r="92" spans="1:6" x14ac:dyDescent="0.3">
      <c r="A92" s="1">
        <v>-1.9331893714266387E-3</v>
      </c>
      <c r="B92" s="1">
        <f t="shared" si="8"/>
        <v>4.2820917534727845E-2</v>
      </c>
      <c r="C92" s="8">
        <f t="shared" si="10"/>
        <v>-1.5514918112054682E-2</v>
      </c>
      <c r="D92" s="8">
        <f t="shared" si="9"/>
        <v>-7.208563124449314E-3</v>
      </c>
      <c r="E92" s="6">
        <f t="shared" si="11"/>
        <v>5.2753737530226753E-3</v>
      </c>
      <c r="F92" s="2">
        <f t="shared" si="12"/>
        <v>2.8750297184057257E-2</v>
      </c>
    </row>
    <row r="93" spans="1:6" x14ac:dyDescent="0.3">
      <c r="A93" s="1">
        <v>2.1517795949443478E-2</v>
      </c>
      <c r="B93" s="1">
        <f t="shared" si="8"/>
        <v>-1.9331893714266387E-3</v>
      </c>
      <c r="C93" s="8">
        <f t="shared" si="10"/>
        <v>4.2820917534727845E-2</v>
      </c>
      <c r="D93" s="8">
        <f t="shared" si="9"/>
        <v>-9.3047932006950062E-3</v>
      </c>
      <c r="E93" s="6">
        <f t="shared" si="11"/>
        <v>3.0822589150138482E-2</v>
      </c>
      <c r="F93" s="2">
        <f t="shared" si="12"/>
        <v>0.98146339029670193</v>
      </c>
    </row>
    <row r="94" spans="1:6" x14ac:dyDescent="0.3">
      <c r="A94" s="1">
        <v>6.2738916563659201E-4</v>
      </c>
      <c r="B94" s="1">
        <f t="shared" si="8"/>
        <v>2.1517795949443478E-2</v>
      </c>
      <c r="C94" s="8">
        <f t="shared" si="10"/>
        <v>-1.9331893714266387E-3</v>
      </c>
      <c r="D94" s="8">
        <f t="shared" si="9"/>
        <v>-6.1621843582756941E-3</v>
      </c>
      <c r="E94" s="6">
        <f t="shared" si="11"/>
        <v>6.7895735239122861E-3</v>
      </c>
      <c r="F94" s="2">
        <f t="shared" si="12"/>
        <v>4.762345077858296E-2</v>
      </c>
    </row>
    <row r="95" spans="1:6" x14ac:dyDescent="0.3">
      <c r="A95" s="1">
        <v>-1.4130718514909397E-2</v>
      </c>
      <c r="B95" s="1">
        <f t="shared" si="8"/>
        <v>6.2738916563659201E-4</v>
      </c>
      <c r="C95" s="8">
        <f t="shared" si="10"/>
        <v>2.1517795949443478E-2</v>
      </c>
      <c r="D95" s="8">
        <f t="shared" si="9"/>
        <v>-6.5961105644313468E-3</v>
      </c>
      <c r="E95" s="6">
        <f t="shared" si="11"/>
        <v>-7.53460795047805E-3</v>
      </c>
      <c r="F95" s="2">
        <f t="shared" si="12"/>
        <v>5.8648537782462117E-2</v>
      </c>
    </row>
    <row r="96" spans="1:6" x14ac:dyDescent="0.3">
      <c r="A96" s="1">
        <v>3.5177864130025382E-3</v>
      </c>
      <c r="B96" s="1">
        <f t="shared" si="8"/>
        <v>-1.4130718514909397E-2</v>
      </c>
      <c r="C96" s="8">
        <f t="shared" si="10"/>
        <v>6.2738916563659201E-4</v>
      </c>
      <c r="D96" s="8">
        <f t="shared" si="9"/>
        <v>-1.5052010874076177E-3</v>
      </c>
      <c r="E96" s="6">
        <f t="shared" si="11"/>
        <v>5.0229875004101556E-3</v>
      </c>
      <c r="F96" s="2">
        <f t="shared" si="12"/>
        <v>2.6065140161860189E-2</v>
      </c>
    </row>
    <row r="97" spans="1:6" x14ac:dyDescent="0.3">
      <c r="A97" s="1">
        <v>2.9956405324236664E-2</v>
      </c>
      <c r="B97" s="1">
        <f t="shared" si="8"/>
        <v>3.5177864130025382E-3</v>
      </c>
      <c r="C97" s="8">
        <f t="shared" si="10"/>
        <v>-1.4130718514909397E-2</v>
      </c>
      <c r="D97" s="8">
        <f t="shared" si="9"/>
        <v>-1.8668178207532334E-3</v>
      </c>
      <c r="E97" s="6">
        <f t="shared" si="11"/>
        <v>3.18232231449899E-2</v>
      </c>
      <c r="F97" s="2">
        <f t="shared" si="12"/>
        <v>1.0462228427156774</v>
      </c>
    </row>
    <row r="98" spans="1:6" x14ac:dyDescent="0.3">
      <c r="A98" s="1">
        <v>-1.4194900955062392E-2</v>
      </c>
      <c r="B98" s="1">
        <f t="shared" si="8"/>
        <v>2.9956405324236664E-2</v>
      </c>
      <c r="C98" s="8">
        <f t="shared" si="10"/>
        <v>3.5177864130025382E-3</v>
      </c>
      <c r="D98" s="8">
        <f t="shared" si="9"/>
        <v>-8.1373749687086508E-3</v>
      </c>
      <c r="E98" s="6">
        <f t="shared" si="11"/>
        <v>-6.0575259863537411E-3</v>
      </c>
      <c r="F98" s="2">
        <f t="shared" si="12"/>
        <v>3.790761329108986E-2</v>
      </c>
    </row>
    <row r="99" spans="1:6" x14ac:dyDescent="0.3">
      <c r="A99" s="1">
        <v>-7.983277605464292E-3</v>
      </c>
      <c r="B99" s="1">
        <f t="shared" ref="B99:B110" si="13">A98</f>
        <v>-1.4194900955062392E-2</v>
      </c>
      <c r="C99" s="8">
        <f t="shared" si="10"/>
        <v>2.9956405324236664E-2</v>
      </c>
      <c r="D99" s="8">
        <f t="shared" si="9"/>
        <v>-5.7223385724766316E-3</v>
      </c>
      <c r="E99" s="6">
        <f t="shared" si="11"/>
        <v>-2.2609390329876604E-3</v>
      </c>
      <c r="F99" s="2">
        <f t="shared" si="12"/>
        <v>5.2809684509211169E-3</v>
      </c>
    </row>
    <row r="100" spans="1:6" x14ac:dyDescent="0.3">
      <c r="A100" s="1">
        <v>1.6795893222117012E-2</v>
      </c>
      <c r="B100" s="1">
        <f t="shared" si="13"/>
        <v>-7.983277605464292E-3</v>
      </c>
      <c r="C100" s="8">
        <f t="shared" si="10"/>
        <v>-1.4194900955062392E-2</v>
      </c>
      <c r="D100" s="8">
        <f t="shared" ref="D100:D110" si="14">$I$8+$I$9*B100+$I$10*C100</f>
        <v>-2.3607707829652845E-4</v>
      </c>
      <c r="E100" s="6">
        <f t="shared" si="11"/>
        <v>1.7031970300413542E-2</v>
      </c>
      <c r="F100" s="2">
        <f t="shared" si="12"/>
        <v>0.29968544583280221</v>
      </c>
    </row>
    <row r="101" spans="1:6" x14ac:dyDescent="0.3">
      <c r="A101" s="1">
        <v>-8.9782855032163808E-3</v>
      </c>
      <c r="B101" s="1">
        <f t="shared" si="13"/>
        <v>1.6795893222117012E-2</v>
      </c>
      <c r="C101" s="8">
        <f t="shared" si="10"/>
        <v>-7.983277605464292E-3</v>
      </c>
      <c r="D101" s="8">
        <f t="shared" si="14"/>
        <v>-4.6246688697138879E-3</v>
      </c>
      <c r="E101" s="6">
        <f t="shared" si="11"/>
        <v>-4.3536166335024929E-3</v>
      </c>
      <c r="F101" s="2">
        <f t="shared" si="12"/>
        <v>1.9581061759290551E-2</v>
      </c>
    </row>
    <row r="102" spans="1:6" x14ac:dyDescent="0.3">
      <c r="A102" s="1">
        <v>2.6121050809678623E-2</v>
      </c>
      <c r="B102" s="1">
        <f t="shared" si="13"/>
        <v>-8.9782855032163808E-3</v>
      </c>
      <c r="C102" s="8">
        <f t="shared" si="10"/>
        <v>1.6795893222117012E-2</v>
      </c>
      <c r="D102" s="8">
        <f t="shared" si="14"/>
        <v>-4.5614360728449552E-3</v>
      </c>
      <c r="E102" s="6">
        <f t="shared" si="11"/>
        <v>3.0682486882523577E-2</v>
      </c>
      <c r="F102" s="2">
        <f t="shared" si="12"/>
        <v>0.97256130002228625</v>
      </c>
    </row>
    <row r="103" spans="1:6" x14ac:dyDescent="0.3">
      <c r="A103" s="1">
        <v>-8.4668197265507141E-3</v>
      </c>
      <c r="B103" s="1">
        <f t="shared" si="13"/>
        <v>2.6121050809678623E-2</v>
      </c>
      <c r="C103" s="8">
        <f t="shared" si="10"/>
        <v>-8.9782855032163808E-3</v>
      </c>
      <c r="D103" s="8">
        <f t="shared" si="14"/>
        <v>-5.7960118239705049E-3</v>
      </c>
      <c r="E103" s="6">
        <f t="shared" si="11"/>
        <v>-2.6708079025802092E-3</v>
      </c>
      <c r="F103" s="2">
        <f t="shared" si="12"/>
        <v>7.3692141093128806E-3</v>
      </c>
    </row>
    <row r="104" spans="1:6" x14ac:dyDescent="0.3">
      <c r="A104" s="1">
        <v>-1.1109103472323792E-2</v>
      </c>
      <c r="B104" s="1">
        <f t="shared" si="13"/>
        <v>-8.4668197265507141E-3</v>
      </c>
      <c r="C104" s="8">
        <f t="shared" si="10"/>
        <v>2.6121050809678623E-2</v>
      </c>
      <c r="D104" s="8">
        <f t="shared" si="14"/>
        <v>-5.9772612308538458E-3</v>
      </c>
      <c r="E104" s="6">
        <f t="shared" si="11"/>
        <v>-5.1318422414699458E-3</v>
      </c>
      <c r="F104" s="2">
        <f t="shared" si="12"/>
        <v>2.7207113238823979E-2</v>
      </c>
    </row>
    <row r="105" spans="1:6" x14ac:dyDescent="0.3">
      <c r="A105" s="1">
        <v>6.1209108240245415E-3</v>
      </c>
      <c r="B105" s="1">
        <f t="shared" si="13"/>
        <v>-1.1109103472323792E-2</v>
      </c>
      <c r="C105" s="8">
        <f t="shared" si="10"/>
        <v>-8.4668197265507141E-3</v>
      </c>
      <c r="D105" s="8">
        <f t="shared" si="14"/>
        <v>-6.2077060346131725E-4</v>
      </c>
      <c r="E105" s="6">
        <f t="shared" si="11"/>
        <v>6.7416814274858586E-3</v>
      </c>
      <c r="F105" s="2">
        <f t="shared" si="12"/>
        <v>4.6953970489526611E-2</v>
      </c>
    </row>
    <row r="106" spans="1:6" x14ac:dyDescent="0.3">
      <c r="A106" s="1">
        <v>-7.5374971981373891E-3</v>
      </c>
      <c r="B106" s="1">
        <f t="shared" si="13"/>
        <v>6.1209108240245415E-3</v>
      </c>
      <c r="C106" s="8">
        <f t="shared" si="10"/>
        <v>-1.1109103472323792E-2</v>
      </c>
      <c r="D106" s="8">
        <f t="shared" si="14"/>
        <v>-2.6692245290570824E-3</v>
      </c>
      <c r="E106" s="6">
        <f t="shared" si="11"/>
        <v>-4.8682726690803067E-3</v>
      </c>
      <c r="F106" s="2">
        <f t="shared" si="12"/>
        <v>2.4484185399287681E-2</v>
      </c>
    </row>
    <row r="107" spans="1:6" x14ac:dyDescent="0.3">
      <c r="A107" s="1">
        <v>4.7032340518382556E-3</v>
      </c>
      <c r="B107" s="1">
        <f t="shared" si="13"/>
        <v>-7.5374971981373891E-3</v>
      </c>
      <c r="C107" s="8">
        <f t="shared" si="10"/>
        <v>6.1209108240245415E-3</v>
      </c>
      <c r="D107" s="8">
        <f t="shared" si="14"/>
        <v>-3.2263479645303315E-3</v>
      </c>
      <c r="E107" s="6">
        <f t="shared" si="11"/>
        <v>7.929582016368588E-3</v>
      </c>
      <c r="F107" s="2">
        <f t="shared" si="12"/>
        <v>6.4958570724156617E-2</v>
      </c>
    </row>
    <row r="108" spans="1:6" x14ac:dyDescent="0.3">
      <c r="A108" s="1">
        <v>-1.975559711537285E-2</v>
      </c>
      <c r="B108" s="1">
        <f t="shared" si="13"/>
        <v>4.7032340518382556E-3</v>
      </c>
      <c r="C108" s="8">
        <f t="shared" si="10"/>
        <v>-7.5374971981373891E-3</v>
      </c>
      <c r="D108" s="8">
        <f t="shared" si="14"/>
        <v>-2.9840047973086299E-3</v>
      </c>
      <c r="E108" s="6">
        <f t="shared" si="11"/>
        <v>-1.6771592318064219E-2</v>
      </c>
      <c r="F108" s="2">
        <f t="shared" si="12"/>
        <v>0.29059254193887579</v>
      </c>
    </row>
    <row r="109" spans="1:6" x14ac:dyDescent="0.3">
      <c r="A109" s="1">
        <v>-1.4212524715989411E-2</v>
      </c>
      <c r="B109" s="1">
        <f t="shared" si="13"/>
        <v>-1.975559711537285E-2</v>
      </c>
      <c r="C109" s="8">
        <f t="shared" si="10"/>
        <v>4.7032340518382556E-3</v>
      </c>
      <c r="D109" s="8">
        <f t="shared" si="14"/>
        <v>-1.2994822229011004E-3</v>
      </c>
      <c r="E109" s="6">
        <f t="shared" si="11"/>
        <v>-1.2913042493088311E-2</v>
      </c>
      <c r="F109" s="2">
        <f t="shared" si="12"/>
        <v>0.17226340609890536</v>
      </c>
    </row>
    <row r="110" spans="1:6" x14ac:dyDescent="0.3">
      <c r="A110" s="1">
        <v>-2.4234725923036361E-2</v>
      </c>
      <c r="B110" s="1">
        <f t="shared" si="13"/>
        <v>-1.4212524715989411E-2</v>
      </c>
      <c r="C110" s="8">
        <f t="shared" si="10"/>
        <v>-1.975559711537285E-2</v>
      </c>
      <c r="D110" s="8">
        <f t="shared" si="14"/>
        <v>1.4434339861522918E-3</v>
      </c>
      <c r="E110" s="6">
        <f t="shared" si="11"/>
        <v>-2.5678159909188654E-2</v>
      </c>
      <c r="F110" s="2">
        <f t="shared" si="12"/>
        <v>0.68118279139038684</v>
      </c>
    </row>
  </sheetData>
  <mergeCells count="1">
    <mergeCell ref="N1:Q1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ed57f9-8819-45bb-a9ab-8668b03bea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81EA905B6BC847BDD1FFADA815F393" ma:contentTypeVersion="18" ma:contentTypeDescription="Utwórz nowy dokument." ma:contentTypeScope="" ma:versionID="afd8298adbcd758530be9179f6044123">
  <xsd:schema xmlns:xsd="http://www.w3.org/2001/XMLSchema" xmlns:xs="http://www.w3.org/2001/XMLSchema" xmlns:p="http://schemas.microsoft.com/office/2006/metadata/properties" xmlns:ns3="ebed57f9-8819-45bb-a9ab-8668b03beab8" xmlns:ns4="692ade2a-f34a-415b-a005-a596550909dc" targetNamespace="http://schemas.microsoft.com/office/2006/metadata/properties" ma:root="true" ma:fieldsID="860df693389b34fca3d4c46cfc16f930" ns3:_="" ns4:_="">
    <xsd:import namespace="ebed57f9-8819-45bb-a9ab-8668b03beab8"/>
    <xsd:import namespace="692ade2a-f34a-415b-a005-a596550909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d57f9-8819-45bb-a9ab-8668b03be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ade2a-f34a-415b-a005-a596550909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FFD93F-4B00-46B0-9419-22F31EB9898B}">
  <ds:schemaRefs>
    <ds:schemaRef ds:uri="http://schemas.microsoft.com/office/infopath/2007/PartnerControls"/>
    <ds:schemaRef ds:uri="692ade2a-f34a-415b-a005-a596550909dc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ebed57f9-8819-45bb-a9ab-8668b03beab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1044F9A-14FA-4FEB-ACF1-4D4FD4AFAA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D97B2-6205-4757-9853-90AD23C3B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ed57f9-8819-45bb-a9ab-8668b03beab8"/>
    <ds:schemaRef ds:uri="692ade2a-f34a-415b-a005-a596550909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Regresja</vt:lpstr>
      <vt:lpstr>MLE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Tomasz Wójtowicz</dc:creator>
  <cp:keywords/>
  <dc:description/>
  <cp:lastModifiedBy>Patrycja Piła</cp:lastModifiedBy>
  <cp:revision/>
  <dcterms:created xsi:type="dcterms:W3CDTF">2025-10-15T08:23:29Z</dcterms:created>
  <dcterms:modified xsi:type="dcterms:W3CDTF">2025-10-22T12:45:05Z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0x0101000D81EA905B6BC847BDD1FFADA815F393</vt:lpwstr>
  </property>
</Properties>
</file>