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11Home\Desktop\Studia\Magisterka\III semestr\EFID\Lab\4A\"/>
    </mc:Choice>
  </mc:AlternateContent>
  <xr:revisionPtr revIDLastSave="0" documentId="8_{3D689296-C7C6-464A-B3A3-37D4E916968A}" xr6:coauthVersionLast="47" xr6:coauthVersionMax="47" xr10:uidLastSave="{00000000-0000-0000-0000-000000000000}"/>
  <bookViews>
    <workbookView xWindow="-108" yWindow="-108" windowWidth="23256" windowHeight="12456" firstSheet="1" activeTab="1" xr2:uid="{0DFBD28D-F22E-4ADE-B47D-38B36454D437}"/>
  </bookViews>
  <sheets>
    <sheet name="Regresja" sheetId="2" r:id="rId1"/>
    <sheet name="MLE" sheetId="1" r:id="rId2"/>
  </sheets>
  <definedNames>
    <definedName name="_xlchart.v1.0" hidden="1">MLE!$A$2:$A$110</definedName>
    <definedName name="solver_adj" localSheetId="1" hidden="1">MLE!$I$8:$I$12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MLE!$I$10</definedName>
    <definedName name="solver_lhs2" localSheetId="1" hidden="1">MLE!$I$10</definedName>
    <definedName name="solver_lhs3" localSheetId="1" hidden="1">MLE!$I$11</definedName>
    <definedName name="solver_lhs4" localSheetId="1" hidden="1">MLE!$I$12</definedName>
    <definedName name="solver_lhs5" localSheetId="1" hidden="1">MLE!$K$8</definedName>
    <definedName name="solver_lhs6" localSheetId="1" hidden="1">MLE!$K$9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MLE!$S$2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3</definedName>
    <definedName name="solver_rel4" localSheetId="1" hidden="1">3</definedName>
    <definedName name="solver_rel5" localSheetId="1" hidden="1">1</definedName>
    <definedName name="solver_rel6" localSheetId="1" hidden="1">1</definedName>
    <definedName name="solver_rhs1" localSheetId="1" hidden="1">0.999999999999999</definedName>
    <definedName name="solver_rhs2" localSheetId="1" hidden="1">-0.999999999999999</definedName>
    <definedName name="solver_rhs3" localSheetId="1" hidden="1">MLE!$K$11</definedName>
    <definedName name="solver_rhs4" localSheetId="1" hidden="1">MLE!$K$12</definedName>
    <definedName name="solver_rhs5" localSheetId="1" hidden="1">0.999999999999999</definedName>
    <definedName name="solver_rhs6" localSheetId="1" hidden="1">0.999999999999999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D4" i="1" l="1"/>
  <c r="I2" i="1" l="1"/>
  <c r="E4" i="1"/>
  <c r="F4" i="1" s="1"/>
  <c r="D6" i="1"/>
  <c r="D5" i="1"/>
  <c r="E5" i="1" s="1"/>
  <c r="F5" i="1" s="1"/>
  <c r="E6" i="1" l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E75" i="1" s="1"/>
  <c r="F75" i="1" s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103" i="1"/>
  <c r="E103" i="1" s="1"/>
  <c r="F103" i="1" s="1"/>
  <c r="D104" i="1"/>
  <c r="E104" i="1" s="1"/>
  <c r="F104" i="1" s="1"/>
  <c r="D105" i="1"/>
  <c r="E105" i="1" s="1"/>
  <c r="F105" i="1" s="1"/>
  <c r="D106" i="1"/>
  <c r="E106" i="1" s="1"/>
  <c r="F106" i="1" s="1"/>
  <c r="D107" i="1"/>
  <c r="E107" i="1" s="1"/>
  <c r="F107" i="1" s="1"/>
  <c r="D108" i="1"/>
  <c r="E108" i="1" s="1"/>
  <c r="F108" i="1" s="1"/>
  <c r="D109" i="1"/>
  <c r="E109" i="1" s="1"/>
  <c r="F109" i="1" s="1"/>
  <c r="D110" i="1"/>
  <c r="E110" i="1" s="1"/>
  <c r="F110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4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3" i="1"/>
  <c r="I6" i="1" l="1"/>
</calcChain>
</file>

<file path=xl/sharedStrings.xml><?xml version="1.0" encoding="utf-8"?>
<sst xmlns="http://schemas.openxmlformats.org/spreadsheetml/2006/main" count="47" uniqueCount="46">
  <si>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</si>
  <si>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</si>
  <si>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</si>
  <si>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</si>
  <si>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</si>
  <si>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</si>
  <si>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</si>
  <si>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</si>
  <si>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</si>
  <si>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</si>
  <si>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</si>
  <si>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</si>
  <si>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</si>
  <si>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</si>
  <si>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</si>
  <si>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</si>
  <si>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</si>
  <si>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</si>
  <si>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</si>
  <si>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</si>
  <si>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</si>
  <si>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</si>
  <si>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</si>
  <si>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</si>
  <si>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</si>
  <si>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>X Variable 2</t>
  </si>
  <si>
    <t>X_t</t>
  </si>
  <si>
    <t>X_t-1</t>
  </si>
  <si>
    <t>X_t-2</t>
  </si>
  <si>
    <t>X_hat</t>
  </si>
  <si>
    <t>reszty</t>
  </si>
  <si>
    <t>likelihood sig</t>
  </si>
  <si>
    <t>parametry modelu</t>
  </si>
  <si>
    <t>oszacowane wartości</t>
  </si>
  <si>
    <t>T</t>
  </si>
  <si>
    <t>p</t>
  </si>
  <si>
    <t>Funkcja celu</t>
  </si>
  <si>
    <t>Ograniczenie</t>
  </si>
  <si>
    <t>f0</t>
  </si>
  <si>
    <t>f1</t>
  </si>
  <si>
    <t>f2</t>
  </si>
  <si>
    <t>s</t>
  </si>
  <si>
    <t>&gt;</t>
  </si>
  <si>
    <t>n</t>
  </si>
  <si>
    <t>&gt;=</t>
  </si>
  <si>
    <t xml:space="preserve">Warunki stacjonarności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</si>
</sst>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38"/>
    </font>
    <font>
      <sz val="11"/>
      <color theme="1"/>
      <name val="Symbol"/>
      <family val="1"/>
      <charset val="2"/>
    </font>
    <font>
      <sz val="8"/>
      <name val="Calibri"/>
      <family val="2"/>
      <charset val="238"/>
    </font>
    <font>
      <sz val="12"/>
      <color theme="1"/>
      <name val="Aptos Narrow"/>
      <family val="2"/>
      <scheme val="minor"/>
    </font>
    <font>
      <i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3" fillId="0" borderId="0" xfId="1" applyAlignment="1">
      <alignment horizontal="right" wrapText="1"/>
    </xf>
    <xf numFmtId="0" fontId="0" fillId="0" borderId="0" xfId="0" quotePrefix="1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</cellXfs>
  <cellStyles count="4">
    <cellStyle name="Comma 2" xfId="2" xr:uid="{C26387DA-FDB9-4EEB-A797-16BC0D4ACC9C}"/>
    <cellStyle name="Normal" xfId="0" builtinId="0"/>
    <cellStyle name="Normal 2" xfId="1" xr:uid="{4943FB26-FBD5-40FB-87DD-FEAFAD2BF3F1}"/>
    <cellStyle name="Percent 2" xfId="3" xr:uid="{525FE0DB-F857-4937-9D17-FDDCEFC12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</xdr:colOff>
      <xdr:row>2</xdr:row>
      <xdr:rowOff>19086</xdr:rowOff>
    </xdr:from>
    <xdr:to>
      <xdr:col>14</xdr:col>
      <xdr:colOff>419100</xdr:colOff>
      <xdr:row>7</xdr:row>
      <xdr:rowOff>53340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F7B1A30F-8427-07F1-0D51-634CBDE471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299" r="5632" b="14416"/>
        <a:stretch>
          <a:fillRect/>
        </a:stretch>
      </xdr:blipFill>
      <xdr:spPr>
        <a:xfrm>
          <a:off x="8481060" y="1131606"/>
          <a:ext cx="1737360" cy="948654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68581</xdr:colOff>
      <xdr:row>9</xdr:row>
      <xdr:rowOff>53340</xdr:rowOff>
    </xdr:from>
    <xdr:to>
      <xdr:col>17</xdr:col>
      <xdr:colOff>435453</xdr:colOff>
      <xdr:row>28</xdr:row>
      <xdr:rowOff>91889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059D6E-99FA-BAC1-41F4-99E3EBF82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1" y="2446020"/>
          <a:ext cx="3704432" cy="35132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B9C7-BE68-465F-94E0-6E4C785E2B31}">
  <dimension ref="A1:I19"/>
  <sheetViews>
    <sheetView workbookViewId="0">
      <selection activeCell="C25" sqref="C25"/>
    </sheetView>
  </sheetViews>
  <sheetFormatPr defaultRowHeight="14.4" x14ac:dyDescent="0.3"/>
  <cols>
    <col min="2" max="2" width="27.109375" customWidth="1"/>
  </cols>
  <sheetData>
    <row r="1" spans="1:9" x14ac:dyDescent="0.3">
      <c r="A1" t="s">
        <v>0</v>
      </c>
    </row>
    <row r="2" spans="1:9" ht="15" thickBot="1" x14ac:dyDescent="0.35"/>
    <row r="3" spans="1:9" x14ac:dyDescent="0.3">
      <c r="A3" s="13" t="s">
        <v>1</v>
      </c>
      <c r="B3" s="13"/>
    </row>
    <row r="4" spans="1:9" x14ac:dyDescent="0.3">
      <c r="A4" t="s">
        <v>2</v>
      </c>
      <c r="B4">
        <v>0.18759212464765918</v>
      </c>
    </row>
    <row r="5" spans="1:9" x14ac:dyDescent="0.3">
      <c r="A5" t="s">
        <v>3</v>
      </c>
      <c r="B5">
        <v>3.5190805229822895E-2</v>
      </c>
    </row>
    <row r="6" spans="1:9" x14ac:dyDescent="0.3">
      <c r="A6" t="s">
        <v>4</v>
      </c>
      <c r="B6">
        <v>1.6636782253473335E-2</v>
      </c>
    </row>
    <row r="7" spans="1:9" x14ac:dyDescent="0.3">
      <c r="A7" t="s">
        <v>5</v>
      </c>
      <c r="B7">
        <v>2.2105241841536512E-2</v>
      </c>
    </row>
    <row r="8" spans="1:9" ht="15" thickBot="1" x14ac:dyDescent="0.35">
      <c r="A8" s="11" t="s">
        <v>6</v>
      </c>
      <c r="B8" s="11">
        <v>107</v>
      </c>
    </row>
    <row r="10" spans="1:9" ht="15" thickBot="1" x14ac:dyDescent="0.35">
      <c r="A10" t="s">
        <v>7</v>
      </c>
    </row>
    <row r="11" spans="1:9" x14ac:dyDescent="0.3">
      <c r="A11" s="12"/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</row>
    <row r="12" spans="1:9" x14ac:dyDescent="0.3">
      <c r="A12" t="s">
        <v>13</v>
      </c>
      <c r="B12">
        <v>2</v>
      </c>
      <c r="C12">
        <v>1.8535813507999377E-3</v>
      </c>
      <c r="D12">
        <v>9.2679067539996884E-4</v>
      </c>
      <c r="E12">
        <v>1.8966671149798568</v>
      </c>
      <c r="F12">
        <v>0.15522245667175483</v>
      </c>
    </row>
    <row r="13" spans="1:9" x14ac:dyDescent="0.3">
      <c r="A13" t="s">
        <v>14</v>
      </c>
      <c r="B13">
        <v>104</v>
      </c>
      <c r="C13">
        <v>5.081873855477291E-2</v>
      </c>
      <c r="D13">
        <v>4.8864171687281648E-4</v>
      </c>
    </row>
    <row r="14" spans="1:9" ht="15" thickBot="1" x14ac:dyDescent="0.35">
      <c r="A14" s="11" t="s">
        <v>15</v>
      </c>
      <c r="B14" s="11">
        <v>106</v>
      </c>
      <c r="C14" s="11">
        <v>5.2672319905572848E-2</v>
      </c>
      <c r="D14" s="11"/>
      <c r="E14" s="11"/>
      <c r="F14" s="11"/>
    </row>
    <row r="15" spans="1:9" ht="15" thickBot="1" x14ac:dyDescent="0.35"/>
    <row r="16" spans="1:9" x14ac:dyDescent="0.3">
      <c r="A16" s="12"/>
      <c r="B16" s="12" t="s">
        <v>16</v>
      </c>
      <c r="C16" s="12" t="s">
        <v>5</v>
      </c>
      <c r="D16" s="12" t="s">
        <v>17</v>
      </c>
      <c r="E16" s="12" t="s">
        <v>18</v>
      </c>
      <c r="F16" s="12" t="s">
        <v>19</v>
      </c>
      <c r="G16" s="12" t="s">
        <v>20</v>
      </c>
      <c r="H16" s="12" t="s">
        <v>21</v>
      </c>
      <c r="I16" s="12" t="s">
        <v>22</v>
      </c>
    </row>
    <row r="17" spans="1:9" x14ac:dyDescent="0.3">
      <c r="A17" t="s">
        <v>23</v>
      </c>
      <c r="B17">
        <v>-3.4070484011313926E-3</v>
      </c>
      <c r="C17">
        <v>2.164971568565351E-3</v>
      </c>
      <c r="D17">
        <v>-1.5737150781102967</v>
      </c>
      <c r="E17">
        <v>0.11859067211161578</v>
      </c>
      <c r="F17">
        <v>-7.7002682653668254E-3</v>
      </c>
      <c r="G17">
        <v>8.8617146310404063E-4</v>
      </c>
      <c r="H17">
        <v>-7.7002682653668254E-3</v>
      </c>
      <c r="I17">
        <v>8.8617146310404063E-4</v>
      </c>
    </row>
    <row r="18" spans="1:9" x14ac:dyDescent="0.3">
      <c r="A18" t="s">
        <v>24</v>
      </c>
      <c r="B18">
        <v>-0.14098312208864577</v>
      </c>
      <c r="C18">
        <v>9.7486188499872908E-2</v>
      </c>
      <c r="D18">
        <v>-1.4461856008333895</v>
      </c>
      <c r="E18">
        <v>0.15113218367440062</v>
      </c>
      <c r="F18">
        <v>-0.3343018921977603</v>
      </c>
      <c r="G18">
        <v>5.2335648020468778E-2</v>
      </c>
      <c r="H18">
        <v>-0.3343018921977603</v>
      </c>
      <c r="I18">
        <v>5.2335648020468778E-2</v>
      </c>
    </row>
    <row r="19" spans="1:9" ht="15" thickBot="1" x14ac:dyDescent="0.35">
      <c r="A19" s="11" t="s">
        <v>25</v>
      </c>
      <c r="B19" s="11">
        <v>-0.14409268852777038</v>
      </c>
      <c r="C19" s="11">
        <v>9.7548894113066234E-2</v>
      </c>
      <c r="D19" s="11">
        <v>-1.477132978675868</v>
      </c>
      <c r="E19" s="11">
        <v>0.14266183592211926</v>
      </c>
      <c r="F19" s="11">
        <v>-0.33753580622096846</v>
      </c>
      <c r="G19" s="11">
        <v>4.9350429165427701E-2</v>
      </c>
      <c r="H19" s="11">
        <v>-0.33753580622096846</v>
      </c>
      <c r="I19" s="11">
        <v>4.9350429165427701E-2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01C3-B9FD-487D-9C2A-DEEF11180A7E}">
  <dimension ref="A1:U110"/>
  <sheetViews>
    <sheetView tabSelected="1" workbookViewId="0">
      <selection activeCell="I8" sqref="I8:I12"/>
    </sheetView>
  </sheetViews>
  <sheetFormatPr defaultRowHeight="14.4" x14ac:dyDescent="0.3"/>
  <cols>
    <col min="1" max="2" width="8.88671875" style="2"/>
    <col min="5" max="5" width="8.88671875" style="2"/>
    <col min="6" max="6" width="10.44140625" style="2" customWidth="1"/>
    <col min="7" max="7" width="8.88671875" style="2"/>
    <col min="8" max="8" width="19.44140625" style="2" customWidth="1"/>
    <col min="9" max="9" width="9.33203125" style="2" bestFit="1" customWidth="1"/>
    <col min="10" max="10" width="8.88671875" style="2"/>
    <col min="11" max="11" width="10" style="2" bestFit="1" customWidth="1"/>
    <col min="12" max="12" width="12" style="2" bestFit="1" customWidth="1"/>
    <col min="13" max="13" width="10.5546875" style="2" customWidth="1"/>
    <col min="14" max="15" width="8.88671875" style="2"/>
    <col min="16" max="16" width="11.44140625" style="2" customWidth="1"/>
    <col min="17" max="17" width="8.88671875" style="2"/>
  </cols>
  <sheetData>
    <row r="1" spans="1:21" s="4" customFormat="1" ht="73.2" customHeight="1" x14ac:dyDescent="0.3">
      <c r="A1" s="3" t="s">
        <v>26</v>
      </c>
      <c r="B1" s="3" t="s">
        <v>27</v>
      </c>
      <c r="C1" s="3" t="s">
        <v>28</v>
      </c>
      <c r="D1" s="3" t="s">
        <v>29</v>
      </c>
      <c r="E1" s="5" t="s">
        <v>30</v>
      </c>
      <c r="F1" s="9" t="s">
        <v>31</v>
      </c>
      <c r="H1" s="4" t="s">
        <v>32</v>
      </c>
      <c r="I1" s="4" t="s">
        <v>33</v>
      </c>
      <c r="K1"/>
      <c r="L1"/>
      <c r="M1"/>
      <c r="N1"/>
      <c r="O1"/>
      <c r="P1"/>
      <c r="Q1"/>
      <c r="R1"/>
      <c r="S1"/>
      <c r="T1"/>
      <c r="U1"/>
    </row>
    <row r="2" spans="1:21" x14ac:dyDescent="0.3">
      <c r="A2" s="1">
        <v>6.1824672965526579E-3</v>
      </c>
      <c r="B2" s="1"/>
      <c r="C2" s="8"/>
      <c r="D2" s="8"/>
      <c r="E2" s="6"/>
      <c r="H2" s="2" t="s">
        <v>34</v>
      </c>
      <c r="I2" s="6">
        <f>COUNT(A4:A110)</f>
        <v>107</v>
      </c>
      <c r="K2"/>
      <c r="L2"/>
      <c r="M2" t="s">
        <v>45</v>
      </c>
      <c r="N2"/>
      <c r="O2"/>
      <c r="P2"/>
      <c r="Q2"/>
    </row>
    <row r="3" spans="1:21" x14ac:dyDescent="0.3">
      <c r="A3" s="1">
        <v>4.462618402122886E-3</v>
      </c>
      <c r="B3" s="1">
        <f t="shared" ref="B3:B34" si="0">A2</f>
        <v>6.1824672965526579E-3</v>
      </c>
      <c r="C3" s="8"/>
      <c r="D3" s="8"/>
      <c r="E3" s="6"/>
      <c r="H3" s="2" t="s">
        <v>35</v>
      </c>
      <c r="I3" s="6">
        <v>2</v>
      </c>
      <c r="K3"/>
      <c r="L3"/>
      <c r="M3"/>
      <c r="N3"/>
      <c r="O3"/>
      <c r="P3"/>
      <c r="Q3"/>
    </row>
    <row r="4" spans="1:21" x14ac:dyDescent="0.3">
      <c r="A4" s="1">
        <v>4.1532372052162348E-4</v>
      </c>
      <c r="B4" s="1">
        <f t="shared" si="0"/>
        <v>4.462618402122886E-3</v>
      </c>
      <c r="C4" s="8">
        <f>A2</f>
        <v>6.1824672965526579E-3</v>
      </c>
      <c r="D4" s="8">
        <f t="shared" ref="D4:D35" si="1">$I$8+$I$9*B4+$I$10*C4</f>
        <v>-4.7672180383474183E-3</v>
      </c>
      <c r="E4" s="6">
        <f>A4-D4</f>
        <v>5.182541758869042E-3</v>
      </c>
      <c r="F4" s="2">
        <f>LN(_xlfn.GAMMA(($I$12+1)/2))-LN($I$11)-0.5*LN($I$12*PI())-LN(_xlfn.GAMMA($I$12/2))-($I$12+1)/2*LN(1+E4^2/($I$12*($I$11^2)))</f>
        <v>3.144221991282798</v>
      </c>
      <c r="H4" s="10"/>
      <c r="I4" s="6"/>
      <c r="K4"/>
      <c r="L4"/>
      <c r="M4"/>
      <c r="N4"/>
      <c r="O4"/>
      <c r="P4"/>
      <c r="Q4"/>
    </row>
    <row r="5" spans="1:21" x14ac:dyDescent="0.3">
      <c r="A5" s="1">
        <v>-8.9938822612816213E-3</v>
      </c>
      <c r="B5" s="1">
        <f t="shared" si="0"/>
        <v>4.1532372052162348E-4</v>
      </c>
      <c r="C5" s="8">
        <f t="shared" ref="C5:C68" si="2">A3</f>
        <v>4.462618402122886E-3</v>
      </c>
      <c r="D5" s="8">
        <f t="shared" si="1"/>
        <v>-4.2317983670930592E-3</v>
      </c>
      <c r="E5" s="6">
        <f>A5-D5</f>
        <v>-4.762083894188562E-3</v>
      </c>
      <c r="F5" s="2">
        <f t="shared" ref="F4:F35" si="3">LN(_xlfn.GAMMA(($I$12+1)/2))-LN($I$11)-0.5*LN($I$12*PI())-LN(_xlfn.GAMMA($I$12/2))-($I$12+1)/2*LN(1+E5^2/($I$12*($I$11^2)))</f>
        <v>3.1558528583186947</v>
      </c>
      <c r="H5" s="10"/>
      <c r="I5" s="6"/>
      <c r="K5"/>
      <c r="L5"/>
      <c r="M5"/>
      <c r="N5"/>
      <c r="O5"/>
      <c r="P5"/>
      <c r="Q5"/>
    </row>
    <row r="6" spans="1:21" x14ac:dyDescent="0.3">
      <c r="A6" s="1">
        <v>2.2962041537351808E-2</v>
      </c>
      <c r="B6" s="1">
        <f t="shared" si="0"/>
        <v>-8.9938822612816213E-3</v>
      </c>
      <c r="C6" s="8">
        <f t="shared" si="2"/>
        <v>4.1532372052162348E-4</v>
      </c>
      <c r="D6" s="8">
        <f t="shared" si="1"/>
        <v>-2.9815657764719716E-3</v>
      </c>
      <c r="E6" s="6">
        <f t="shared" ref="E6:E68" si="4">A6-D6</f>
        <v>2.594360731382378E-2</v>
      </c>
      <c r="F6" s="2">
        <f t="shared" si="3"/>
        <v>1.8140904900326702</v>
      </c>
      <c r="H6" s="2" t="s">
        <v>36</v>
      </c>
      <c r="I6" s="6">
        <f>SUM(F4:F110)</f>
        <v>267.45347007452443</v>
      </c>
      <c r="N6"/>
      <c r="O6"/>
      <c r="P6"/>
      <c r="Q6"/>
    </row>
    <row r="7" spans="1:21" x14ac:dyDescent="0.3">
      <c r="A7" s="1">
        <v>2.8036389569355131E-2</v>
      </c>
      <c r="B7" s="1">
        <f t="shared" si="0"/>
        <v>2.2962041537351808E-2</v>
      </c>
      <c r="C7" s="8">
        <f t="shared" si="2"/>
        <v>-8.9938822612816213E-3</v>
      </c>
      <c r="D7" s="8">
        <f t="shared" si="1"/>
        <v>-4.6355593816185155E-3</v>
      </c>
      <c r="E7" s="6">
        <f t="shared" si="4"/>
        <v>3.2671948950973646E-2</v>
      </c>
      <c r="F7" s="2">
        <f t="shared" si="3"/>
        <v>1.2653219972916152</v>
      </c>
      <c r="K7" s="2" t="s">
        <v>37</v>
      </c>
      <c r="N7"/>
      <c r="O7"/>
      <c r="P7"/>
      <c r="Q7"/>
    </row>
    <row r="8" spans="1:21" x14ac:dyDescent="0.3">
      <c r="A8" s="1">
        <v>-1.4485146958742819E-3</v>
      </c>
      <c r="B8" s="1">
        <f t="shared" si="0"/>
        <v>2.8036389569355131E-2</v>
      </c>
      <c r="C8" s="8">
        <f t="shared" si="2"/>
        <v>2.2962041537351808E-2</v>
      </c>
      <c r="D8" s="8">
        <f t="shared" si="1"/>
        <v>-8.6428126815767115E-3</v>
      </c>
      <c r="E8" s="6">
        <f t="shared" si="4"/>
        <v>7.1942979857024299E-3</v>
      </c>
      <c r="F8" s="2">
        <f t="shared" si="3"/>
        <v>3.0761372045917166</v>
      </c>
      <c r="H8" s="7" t="s">
        <v>38</v>
      </c>
      <c r="I8" s="6">
        <v>-3.6970376682550891E-3</v>
      </c>
      <c r="K8" s="2">
        <f>I9+I10</f>
        <v>-0.19666691526459279</v>
      </c>
      <c r="N8"/>
      <c r="O8"/>
      <c r="P8"/>
      <c r="Q8"/>
    </row>
    <row r="9" spans="1:21" x14ac:dyDescent="0.3">
      <c r="A9" s="1">
        <v>-1.0211369564398056E-2</v>
      </c>
      <c r="B9" s="1">
        <f t="shared" si="0"/>
        <v>-1.4485146958742819E-3</v>
      </c>
      <c r="C9" s="8">
        <f t="shared" si="2"/>
        <v>2.8036389569355131E-2</v>
      </c>
      <c r="D9" s="8">
        <f t="shared" si="1"/>
        <v>-6.7128930553976701E-3</v>
      </c>
      <c r="E9" s="6">
        <f t="shared" si="4"/>
        <v>-3.4984765090003856E-3</v>
      </c>
      <c r="F9" s="2">
        <f t="shared" si="3"/>
        <v>3.1851435810931603</v>
      </c>
      <c r="H9" s="7" t="s">
        <v>39</v>
      </c>
      <c r="I9" s="6">
        <v>-8.4720467197333865E-2</v>
      </c>
      <c r="K9" s="2">
        <f>I10-I9</f>
        <v>-2.7225980869925073E-2</v>
      </c>
      <c r="N9"/>
      <c r="O9"/>
      <c r="P9"/>
      <c r="Q9"/>
    </row>
    <row r="10" spans="1:21" x14ac:dyDescent="0.3">
      <c r="A10" s="1">
        <v>-7.5267021293541053E-3</v>
      </c>
      <c r="B10" s="1">
        <f t="shared" si="0"/>
        <v>-1.0211369564398056E-2</v>
      </c>
      <c r="C10" s="8">
        <f t="shared" si="2"/>
        <v>-1.4485146958742819E-3</v>
      </c>
      <c r="D10" s="8">
        <f t="shared" si="1"/>
        <v>-2.6697695928582983E-3</v>
      </c>
      <c r="E10" s="6">
        <f t="shared" si="4"/>
        <v>-4.8569325364958074E-3</v>
      </c>
      <c r="F10" s="2">
        <f t="shared" si="3"/>
        <v>3.1533100744196441</v>
      </c>
      <c r="H10" s="7" t="s">
        <v>40</v>
      </c>
      <c r="I10" s="6">
        <v>-0.11194644806725894</v>
      </c>
      <c r="N10"/>
      <c r="O10"/>
      <c r="P10"/>
      <c r="Q10"/>
    </row>
    <row r="11" spans="1:21" x14ac:dyDescent="0.3">
      <c r="A11" s="1">
        <v>-2.0472029282336133E-2</v>
      </c>
      <c r="B11" s="1">
        <f t="shared" si="0"/>
        <v>-7.5267021293541053E-3</v>
      </c>
      <c r="C11" s="8">
        <f t="shared" si="2"/>
        <v>-1.0211369564398056E-2</v>
      </c>
      <c r="D11" s="8">
        <f t="shared" si="1"/>
        <v>-1.9162453947645663E-3</v>
      </c>
      <c r="E11" s="6">
        <f t="shared" si="4"/>
        <v>-1.8555783887571568E-2</v>
      </c>
      <c r="F11" s="2">
        <f t="shared" si="3"/>
        <v>2.3969458598100259</v>
      </c>
      <c r="H11" s="7" t="s">
        <v>41</v>
      </c>
      <c r="I11" s="6">
        <v>1.4900922995190021E-2</v>
      </c>
      <c r="J11" s="2" t="s">
        <v>42</v>
      </c>
      <c r="K11" s="2">
        <v>1E-4</v>
      </c>
      <c r="N11"/>
      <c r="O11"/>
      <c r="P11"/>
      <c r="Q11"/>
    </row>
    <row r="12" spans="1:21" x14ac:dyDescent="0.3">
      <c r="A12" s="1">
        <v>-1.8125714828559809E-4</v>
      </c>
      <c r="B12" s="1">
        <f t="shared" si="0"/>
        <v>-2.0472029282336133E-2</v>
      </c>
      <c r="C12" s="8">
        <f t="shared" si="2"/>
        <v>-7.5267021293541053E-3</v>
      </c>
      <c r="D12" s="8">
        <f t="shared" si="1"/>
        <v>-1.1200502139366061E-3</v>
      </c>
      <c r="E12" s="6">
        <f t="shared" si="4"/>
        <v>9.3879306565100801E-4</v>
      </c>
      <c r="F12" s="2">
        <f t="shared" si="3"/>
        <v>3.2174391803094893</v>
      </c>
      <c r="H12" s="7" t="s">
        <v>43</v>
      </c>
      <c r="I12" s="6">
        <v>3.6649955009599711</v>
      </c>
      <c r="J12" s="2" t="s">
        <v>44</v>
      </c>
      <c r="K12" s="2">
        <v>2</v>
      </c>
      <c r="N12"/>
      <c r="O12"/>
      <c r="P12"/>
      <c r="Q12"/>
    </row>
    <row r="13" spans="1:21" x14ac:dyDescent="0.3">
      <c r="A13" s="1">
        <v>-3.4588048006226279E-3</v>
      </c>
      <c r="B13" s="1">
        <f t="shared" si="0"/>
        <v>-1.8125714828559809E-4</v>
      </c>
      <c r="C13" s="8">
        <f t="shared" si="2"/>
        <v>-2.0472029282336133E-2</v>
      </c>
      <c r="D13" s="8">
        <f t="shared" si="1"/>
        <v>-1.3899105150830308E-3</v>
      </c>
      <c r="E13" s="6">
        <f t="shared" si="4"/>
        <v>-2.0688942855395971E-3</v>
      </c>
      <c r="F13" s="2">
        <f t="shared" si="3"/>
        <v>3.2077274427195221</v>
      </c>
      <c r="I13" s="6"/>
      <c r="N13"/>
      <c r="O13"/>
      <c r="P13"/>
      <c r="Q13"/>
    </row>
    <row r="14" spans="1:21" x14ac:dyDescent="0.3">
      <c r="A14" s="1">
        <v>-1.5331706132346372E-2</v>
      </c>
      <c r="B14" s="1">
        <f t="shared" si="0"/>
        <v>-3.4588048006226279E-3</v>
      </c>
      <c r="C14" s="8">
        <f t="shared" si="2"/>
        <v>-1.8125714828559809E-4</v>
      </c>
      <c r="D14" s="8">
        <f t="shared" si="1"/>
        <v>-3.3837150156645858E-3</v>
      </c>
      <c r="E14" s="6">
        <f t="shared" si="4"/>
        <v>-1.1947991116681787E-2</v>
      </c>
      <c r="F14" s="2">
        <f t="shared" si="3"/>
        <v>2.8429640610724967</v>
      </c>
      <c r="I14" s="6"/>
      <c r="N14"/>
      <c r="O14"/>
      <c r="P14"/>
      <c r="Q14"/>
    </row>
    <row r="15" spans="1:21" x14ac:dyDescent="0.3">
      <c r="A15" s="1">
        <v>-4.656378621715216E-2</v>
      </c>
      <c r="B15" s="1">
        <f t="shared" si="0"/>
        <v>-1.5331706132346372E-2</v>
      </c>
      <c r="C15" s="8">
        <f t="shared" si="2"/>
        <v>-3.4588048006226279E-3</v>
      </c>
      <c r="D15" s="8">
        <f t="shared" si="1"/>
        <v>-2.0109274498027888E-3</v>
      </c>
      <c r="E15" s="6">
        <f t="shared" si="4"/>
        <v>-4.4552858767349372E-2</v>
      </c>
      <c r="F15" s="2">
        <f t="shared" si="3"/>
        <v>0.3387569897295144</v>
      </c>
      <c r="I15" s="6"/>
    </row>
    <row r="16" spans="1:21" x14ac:dyDescent="0.3">
      <c r="A16" s="1">
        <v>1.3382473241296692E-2</v>
      </c>
      <c r="B16" s="1">
        <f t="shared" si="0"/>
        <v>-4.656378621715216E-2</v>
      </c>
      <c r="C16" s="8">
        <f t="shared" si="2"/>
        <v>-1.5331706132346372E-2</v>
      </c>
      <c r="D16" s="8">
        <f t="shared" si="1"/>
        <v>1.964198098866006E-3</v>
      </c>
      <c r="E16" s="6">
        <f t="shared" si="4"/>
        <v>1.1418275142430686E-2</v>
      </c>
      <c r="F16" s="2">
        <f t="shared" si="3"/>
        <v>2.8733438193889125</v>
      </c>
      <c r="I16" s="6"/>
    </row>
    <row r="17" spans="1:11" x14ac:dyDescent="0.3">
      <c r="A17" s="1">
        <v>1.5151053003889867E-2</v>
      </c>
      <c r="B17" s="1">
        <f t="shared" si="0"/>
        <v>1.3382473241296692E-2</v>
      </c>
      <c r="C17" s="8">
        <f t="shared" si="2"/>
        <v>-4.656378621715216E-2</v>
      </c>
      <c r="D17" s="8">
        <f t="shared" si="1"/>
        <v>3.8184342205980788E-4</v>
      </c>
      <c r="E17" s="6">
        <f t="shared" si="4"/>
        <v>1.4769209581830058E-2</v>
      </c>
      <c r="F17" s="2">
        <f t="shared" si="3"/>
        <v>2.666042978245649</v>
      </c>
      <c r="I17" s="6"/>
    </row>
    <row r="18" spans="1:11" x14ac:dyDescent="0.3">
      <c r="A18" s="1">
        <v>5.1482818187326379E-4</v>
      </c>
      <c r="B18" s="1">
        <f t="shared" si="0"/>
        <v>1.5151053003889867E-2</v>
      </c>
      <c r="C18" s="8">
        <f t="shared" si="2"/>
        <v>1.3382473241296692E-2</v>
      </c>
      <c r="D18" s="8">
        <f t="shared" si="1"/>
        <v>-6.4787623029945096E-3</v>
      </c>
      <c r="E18" s="6">
        <f t="shared" si="4"/>
        <v>6.9935904848677736E-3</v>
      </c>
      <c r="F18" s="2">
        <f t="shared" si="3"/>
        <v>3.0838238828077569</v>
      </c>
      <c r="I18" s="6"/>
    </row>
    <row r="19" spans="1:11" x14ac:dyDescent="0.3">
      <c r="A19" s="1">
        <v>-2.2920721027101063E-2</v>
      </c>
      <c r="B19" s="1">
        <f t="shared" si="0"/>
        <v>5.1482818187326379E-4</v>
      </c>
      <c r="C19" s="8">
        <f t="shared" si="2"/>
        <v>1.5151053003889867E-2</v>
      </c>
      <c r="D19" s="8">
        <f t="shared" si="1"/>
        <v>-5.4367607206139909E-3</v>
      </c>
      <c r="E19" s="6">
        <f t="shared" si="4"/>
        <v>-1.7483960306487072E-2</v>
      </c>
      <c r="F19" s="2">
        <f t="shared" si="3"/>
        <v>2.4760742044410295</v>
      </c>
      <c r="I19" s="6"/>
      <c r="K19" s="10"/>
    </row>
    <row r="20" spans="1:11" x14ac:dyDescent="0.3">
      <c r="A20" s="1">
        <v>1.1799869233762235E-2</v>
      </c>
      <c r="B20" s="1">
        <f t="shared" si="0"/>
        <v>-2.2920721027101063E-2</v>
      </c>
      <c r="C20" s="8">
        <f t="shared" si="2"/>
        <v>5.1482818187326379E-4</v>
      </c>
      <c r="D20" s="8">
        <f t="shared" si="1"/>
        <v>-1.8128166606649696E-3</v>
      </c>
      <c r="E20" s="6">
        <f t="shared" si="4"/>
        <v>1.3612685894427204E-2</v>
      </c>
      <c r="F20" s="2">
        <f t="shared" si="3"/>
        <v>2.7414448212393157</v>
      </c>
    </row>
    <row r="21" spans="1:11" x14ac:dyDescent="0.3">
      <c r="A21" s="1">
        <v>6.612712700315191E-3</v>
      </c>
      <c r="B21" s="1">
        <f t="shared" si="0"/>
        <v>1.1799869233762235E-2</v>
      </c>
      <c r="C21" s="8">
        <f t="shared" si="2"/>
        <v>-2.2920721027101063E-2</v>
      </c>
      <c r="D21" s="8">
        <f t="shared" si="1"/>
        <v>-2.1308347964823725E-3</v>
      </c>
      <c r="E21" s="6">
        <f t="shared" si="4"/>
        <v>8.743547496797564E-3</v>
      </c>
      <c r="F21" s="2">
        <f t="shared" si="3"/>
        <v>3.0105271311845914</v>
      </c>
    </row>
    <row r="22" spans="1:11" x14ac:dyDescent="0.3">
      <c r="A22" s="1">
        <v>1.2793884864139881E-2</v>
      </c>
      <c r="B22" s="1">
        <f t="shared" si="0"/>
        <v>6.612712700315191E-3</v>
      </c>
      <c r="C22" s="8">
        <f t="shared" si="2"/>
        <v>1.1799869233762235E-2</v>
      </c>
      <c r="D22" s="8">
        <f t="shared" si="1"/>
        <v>-5.5782232260453458E-3</v>
      </c>
      <c r="E22" s="6">
        <f t="shared" si="4"/>
        <v>1.8372108090185225E-2</v>
      </c>
      <c r="F22" s="2">
        <f t="shared" si="3"/>
        <v>2.4106471890396395</v>
      </c>
    </row>
    <row r="23" spans="1:11" x14ac:dyDescent="0.3">
      <c r="A23" s="1">
        <v>-7.9188127009602195E-3</v>
      </c>
      <c r="B23" s="1">
        <f t="shared" si="0"/>
        <v>1.2793884864139881E-2</v>
      </c>
      <c r="C23" s="8">
        <f t="shared" si="2"/>
        <v>6.612712700315191E-3</v>
      </c>
      <c r="D23" s="8">
        <f t="shared" si="1"/>
        <v>-5.5212112701034568E-3</v>
      </c>
      <c r="E23" s="6">
        <f t="shared" si="4"/>
        <v>-2.3976014308567627E-3</v>
      </c>
      <c r="F23" s="2">
        <f t="shared" si="3"/>
        <v>3.2035450026201793</v>
      </c>
    </row>
    <row r="24" spans="1:11" x14ac:dyDescent="0.3">
      <c r="A24" s="1">
        <v>-2.7477396061668029E-2</v>
      </c>
      <c r="B24" s="1">
        <f t="shared" si="0"/>
        <v>-7.9188127009602195E-3</v>
      </c>
      <c r="C24" s="8">
        <f t="shared" si="2"/>
        <v>1.2793884864139881E-2</v>
      </c>
      <c r="D24" s="8">
        <f t="shared" si="1"/>
        <v>-4.458382124103483E-3</v>
      </c>
      <c r="E24" s="6">
        <f t="shared" si="4"/>
        <v>-2.3019013937564545E-2</v>
      </c>
      <c r="F24" s="2">
        <f t="shared" si="3"/>
        <v>2.0502973015578245</v>
      </c>
    </row>
    <row r="25" spans="1:11" x14ac:dyDescent="0.3">
      <c r="A25" s="1">
        <v>-1.3575110397984996E-3</v>
      </c>
      <c r="B25" s="1">
        <f t="shared" si="0"/>
        <v>-2.7477396061668029E-2</v>
      </c>
      <c r="C25" s="8">
        <f t="shared" si="2"/>
        <v>-7.9188127009602195E-3</v>
      </c>
      <c r="D25" s="8">
        <f t="shared" si="1"/>
        <v>-4.8265688176199831E-4</v>
      </c>
      <c r="E25" s="6">
        <f t="shared" si="4"/>
        <v>-8.7485415803650131E-4</v>
      </c>
      <c r="F25" s="2">
        <f t="shared" si="3"/>
        <v>3.2177712278652866</v>
      </c>
    </row>
    <row r="26" spans="1:11" x14ac:dyDescent="0.3">
      <c r="A26" s="1">
        <v>1.9833145295887904E-2</v>
      </c>
      <c r="B26" s="1">
        <f t="shared" si="0"/>
        <v>-1.3575110397984996E-3</v>
      </c>
      <c r="C26" s="8">
        <f t="shared" si="2"/>
        <v>-2.7477396061668029E-2</v>
      </c>
      <c r="D26" s="8">
        <f t="shared" si="1"/>
        <v>-5.0603180749679609E-4</v>
      </c>
      <c r="E26" s="6">
        <f t="shared" si="4"/>
        <v>2.03391771033847E-2</v>
      </c>
      <c r="F26" s="2">
        <f t="shared" si="3"/>
        <v>2.26126179488256</v>
      </c>
    </row>
    <row r="27" spans="1:11" x14ac:dyDescent="0.3">
      <c r="A27" s="1">
        <v>9.3506707975504217E-3</v>
      </c>
      <c r="B27" s="1">
        <f t="shared" si="0"/>
        <v>1.9833145295887904E-2</v>
      </c>
      <c r="C27" s="8">
        <f t="shared" si="2"/>
        <v>-1.3575110397984996E-3</v>
      </c>
      <c r="D27" s="8">
        <f t="shared" si="1"/>
        <v>-5.2253424645977839E-3</v>
      </c>
      <c r="E27" s="6">
        <f t="shared" si="4"/>
        <v>1.4576013262148205E-2</v>
      </c>
      <c r="F27" s="2">
        <f t="shared" si="3"/>
        <v>2.6788933987501435</v>
      </c>
    </row>
    <row r="28" spans="1:11" x14ac:dyDescent="0.3">
      <c r="A28" s="1">
        <v>-1.0213298523325132E-2</v>
      </c>
      <c r="B28" s="1">
        <f t="shared" si="0"/>
        <v>9.3506707975504217E-3</v>
      </c>
      <c r="C28" s="8">
        <f t="shared" si="2"/>
        <v>1.9833145295887904E-2</v>
      </c>
      <c r="D28" s="8">
        <f t="shared" si="1"/>
        <v>-6.709481036708544E-3</v>
      </c>
      <c r="E28" s="6">
        <f t="shared" si="4"/>
        <v>-3.5038174866165884E-3</v>
      </c>
      <c r="F28" s="2">
        <f t="shared" si="3"/>
        <v>3.1850379748958937</v>
      </c>
    </row>
    <row r="29" spans="1:11" x14ac:dyDescent="0.3">
      <c r="A29" s="1">
        <v>-4.5648738566212805E-3</v>
      </c>
      <c r="B29" s="1">
        <f t="shared" si="0"/>
        <v>-1.0213298523325132E-2</v>
      </c>
      <c r="C29" s="8">
        <f t="shared" si="2"/>
        <v>9.3506707975504217E-3</v>
      </c>
      <c r="D29" s="8">
        <f t="shared" si="1"/>
        <v>-3.8785366285651567E-3</v>
      </c>
      <c r="E29" s="6">
        <f t="shared" si="4"/>
        <v>-6.8633722805612387E-4</v>
      </c>
      <c r="F29" s="2">
        <f t="shared" si="3"/>
        <v>3.2186141707528821</v>
      </c>
    </row>
    <row r="30" spans="1:11" x14ac:dyDescent="0.3">
      <c r="A30" s="1">
        <v>-1.8942494305017977E-2</v>
      </c>
      <c r="B30" s="1">
        <f t="shared" si="0"/>
        <v>-4.5648738566212805E-3</v>
      </c>
      <c r="C30" s="8">
        <f t="shared" si="2"/>
        <v>-1.0213298523325132E-2</v>
      </c>
      <c r="D30" s="8">
        <f t="shared" si="1"/>
        <v>-2.1669569296884099E-3</v>
      </c>
      <c r="E30" s="6">
        <f t="shared" si="4"/>
        <v>-1.6775537375329566E-2</v>
      </c>
      <c r="F30" s="2">
        <f t="shared" si="3"/>
        <v>2.5271998719191795</v>
      </c>
    </row>
    <row r="31" spans="1:11" x14ac:dyDescent="0.3">
      <c r="A31" s="1">
        <v>2.1920177494472875E-2</v>
      </c>
      <c r="B31" s="1">
        <f t="shared" si="0"/>
        <v>-1.8942494305017977E-2</v>
      </c>
      <c r="C31" s="8">
        <f t="shared" si="2"/>
        <v>-4.5648738566212805E-3</v>
      </c>
      <c r="D31" s="8">
        <f t="shared" si="1"/>
        <v>-1.5811992867272881E-3</v>
      </c>
      <c r="E31" s="6">
        <f t="shared" si="4"/>
        <v>2.3501376781200164E-2</v>
      </c>
      <c r="F31" s="2">
        <f t="shared" si="3"/>
        <v>2.011664738825921</v>
      </c>
    </row>
    <row r="32" spans="1:11" x14ac:dyDescent="0.3">
      <c r="A32" s="1">
        <v>1.3702875903593374E-3</v>
      </c>
      <c r="B32" s="1">
        <f t="shared" si="0"/>
        <v>2.1920177494472875E-2</v>
      </c>
      <c r="C32" s="8">
        <f t="shared" si="2"/>
        <v>-1.8942494305017977E-2</v>
      </c>
      <c r="D32" s="8">
        <f t="shared" si="1"/>
        <v>-3.433580391654271E-3</v>
      </c>
      <c r="E32" s="6">
        <f t="shared" si="4"/>
        <v>4.8038679820136083E-3</v>
      </c>
      <c r="F32" s="2">
        <f t="shared" si="3"/>
        <v>3.1547385130206829</v>
      </c>
    </row>
    <row r="33" spans="1:6" x14ac:dyDescent="0.3">
      <c r="A33" s="1">
        <v>-1.6917962310008368E-2</v>
      </c>
      <c r="B33" s="1">
        <f t="shared" si="0"/>
        <v>1.3702875903593374E-3</v>
      </c>
      <c r="C33" s="8">
        <f t="shared" si="2"/>
        <v>2.1920177494472875E-2</v>
      </c>
      <c r="D33" s="8">
        <f t="shared" si="1"/>
        <v>-6.2670150846151473E-3</v>
      </c>
      <c r="E33" s="6">
        <f t="shared" si="4"/>
        <v>-1.0650947225393221E-2</v>
      </c>
      <c r="F33" s="2">
        <f t="shared" si="3"/>
        <v>2.9155596644911634</v>
      </c>
    </row>
    <row r="34" spans="1:6" x14ac:dyDescent="0.3">
      <c r="A34" s="1">
        <v>-1.4971719076703981E-2</v>
      </c>
      <c r="B34" s="1">
        <f t="shared" si="0"/>
        <v>-1.6917962310008368E-2</v>
      </c>
      <c r="C34" s="8">
        <f t="shared" si="2"/>
        <v>1.3702875903593374E-3</v>
      </c>
      <c r="D34" s="8">
        <f t="shared" si="1"/>
        <v>-2.4171388258956653E-3</v>
      </c>
      <c r="E34" s="6">
        <f t="shared" si="4"/>
        <v>-1.2554580250808316E-2</v>
      </c>
      <c r="F34" s="2">
        <f t="shared" si="3"/>
        <v>2.8069990236970543</v>
      </c>
    </row>
    <row r="35" spans="1:6" x14ac:dyDescent="0.3">
      <c r="A35" s="1">
        <v>-3.5015837555854454E-2</v>
      </c>
      <c r="B35" s="1">
        <f t="shared" ref="B35:B66" si="5">A34</f>
        <v>-1.4971719076703981E-2</v>
      </c>
      <c r="C35" s="8">
        <f t="shared" si="2"/>
        <v>-1.6917962310008368E-2</v>
      </c>
      <c r="D35" s="8">
        <f t="shared" si="1"/>
        <v>-5.3472084418829612E-4</v>
      </c>
      <c r="E35" s="6">
        <f t="shared" si="4"/>
        <v>-3.4481116711666156E-2</v>
      </c>
      <c r="F35" s="2">
        <f t="shared" si="3"/>
        <v>1.1193513645195265</v>
      </c>
    </row>
    <row r="36" spans="1:6" x14ac:dyDescent="0.3">
      <c r="A36" s="1">
        <v>1.5239431408189575E-2</v>
      </c>
      <c r="B36" s="1">
        <f t="shared" si="5"/>
        <v>-3.5015837555854454E-2</v>
      </c>
      <c r="C36" s="8">
        <f t="shared" si="2"/>
        <v>-1.4971719076703981E-2</v>
      </c>
      <c r="D36" s="8">
        <f t="shared" ref="D36:D67" si="6">$I$8+$I$9*B36+$I$10*C36</f>
        <v>9.4555122088068179E-4</v>
      </c>
      <c r="E36" s="6">
        <f t="shared" si="4"/>
        <v>1.4293880187308894E-2</v>
      </c>
      <c r="F36" s="2">
        <f t="shared" ref="F36:F67" si="7">LN(_xlfn.GAMMA(($I$12+1)/2))-LN($I$11)-0.5*LN($I$12*PI())-LN(_xlfn.GAMMA($I$12/2))-($I$12+1)/2*LN(1+E36^2/($I$12*($I$11^2)))</f>
        <v>2.6974802730564718</v>
      </c>
    </row>
    <row r="37" spans="1:6" x14ac:dyDescent="0.3">
      <c r="A37" s="1">
        <v>-3.0106372549497117E-2</v>
      </c>
      <c r="B37" s="1">
        <f t="shared" si="5"/>
        <v>1.5239431408189575E-2</v>
      </c>
      <c r="C37" s="8">
        <f t="shared" si="2"/>
        <v>-3.5015837555854454E-2</v>
      </c>
      <c r="D37" s="8">
        <f t="shared" si="6"/>
        <v>-1.0682307765005972E-3</v>
      </c>
      <c r="E37" s="6">
        <f t="shared" si="4"/>
        <v>-2.9038141772996521E-2</v>
      </c>
      <c r="F37" s="2">
        <f t="shared" si="7"/>
        <v>1.5613747190259391</v>
      </c>
    </row>
    <row r="38" spans="1:6" x14ac:dyDescent="0.3">
      <c r="A38" s="1">
        <v>-0.11502016748465382</v>
      </c>
      <c r="B38" s="1">
        <f t="shared" si="5"/>
        <v>-3.0106372549497117E-2</v>
      </c>
      <c r="C38" s="8">
        <f t="shared" si="2"/>
        <v>1.5239431408189575E-2</v>
      </c>
      <c r="D38" s="8">
        <f t="shared" si="6"/>
        <v>-2.852411936956155E-3</v>
      </c>
      <c r="E38" s="6">
        <f t="shared" si="4"/>
        <v>-0.11216775554769767</v>
      </c>
      <c r="F38" s="2">
        <f t="shared" si="7"/>
        <v>-3.3133415107617559</v>
      </c>
    </row>
    <row r="39" spans="1:6" x14ac:dyDescent="0.3">
      <c r="A39" s="1">
        <v>8.0994983742242524E-2</v>
      </c>
      <c r="B39" s="1">
        <f t="shared" si="5"/>
        <v>-0.11502016748465382</v>
      </c>
      <c r="C39" s="8">
        <f t="shared" si="2"/>
        <v>-3.0106372549497117E-2</v>
      </c>
      <c r="D39" s="8">
        <f t="shared" si="6"/>
        <v>9.4178261292662008E-3</v>
      </c>
      <c r="E39" s="6">
        <f t="shared" si="4"/>
        <v>7.1577157612976325E-2</v>
      </c>
      <c r="F39" s="2">
        <f t="shared" si="7"/>
        <v>-1.4153976941941693</v>
      </c>
    </row>
    <row r="40" spans="1:6" x14ac:dyDescent="0.3">
      <c r="A40" s="1">
        <v>1.4657775286877854E-2</v>
      </c>
      <c r="B40" s="1">
        <f t="shared" si="5"/>
        <v>8.0994983742242524E-2</v>
      </c>
      <c r="C40" s="8">
        <f t="shared" si="2"/>
        <v>-0.11502016748465382</v>
      </c>
      <c r="D40" s="8">
        <f t="shared" si="6"/>
        <v>2.3171286744698878E-3</v>
      </c>
      <c r="E40" s="6">
        <f t="shared" si="4"/>
        <v>1.2340646612407967E-2</v>
      </c>
      <c r="F40" s="2">
        <f t="shared" si="7"/>
        <v>2.8198228842318254</v>
      </c>
    </row>
    <row r="41" spans="1:6" x14ac:dyDescent="0.3">
      <c r="A41" s="1">
        <v>-1.6572555481786828E-2</v>
      </c>
      <c r="B41" s="1">
        <f t="shared" si="5"/>
        <v>1.4657775286877854E-2</v>
      </c>
      <c r="C41" s="8">
        <f t="shared" si="2"/>
        <v>8.0994983742242524E-2</v>
      </c>
      <c r="D41" s="8">
        <f t="shared" si="6"/>
        <v>-1.4005951979842349E-2</v>
      </c>
      <c r="E41" s="6">
        <f t="shared" si="4"/>
        <v>-2.5666035019444797E-3</v>
      </c>
      <c r="F41" s="2">
        <f t="shared" si="7"/>
        <v>3.2011583793288372</v>
      </c>
    </row>
    <row r="42" spans="1:6" x14ac:dyDescent="0.3">
      <c r="A42" s="1">
        <v>3.8374479400262541E-2</v>
      </c>
      <c r="B42" s="1">
        <f t="shared" si="5"/>
        <v>-1.6572555481786828E-2</v>
      </c>
      <c r="C42" s="8">
        <f t="shared" si="2"/>
        <v>1.4657775286877854E-2</v>
      </c>
      <c r="D42" s="8">
        <f t="shared" si="6"/>
        <v>-3.933888905118396E-3</v>
      </c>
      <c r="E42" s="6">
        <f t="shared" si="4"/>
        <v>4.2308368305380935E-2</v>
      </c>
      <c r="F42" s="2">
        <f t="shared" si="7"/>
        <v>0.50717547519687711</v>
      </c>
    </row>
    <row r="43" spans="1:6" x14ac:dyDescent="0.3">
      <c r="A43" s="1">
        <v>-1.6973310043301812E-2</v>
      </c>
      <c r="B43" s="1">
        <f t="shared" si="5"/>
        <v>3.8374479400262541E-2</v>
      </c>
      <c r="C43" s="8">
        <f t="shared" si="2"/>
        <v>-1.6572555481786828E-2</v>
      </c>
      <c r="D43" s="8">
        <f t="shared" si="6"/>
        <v>-5.0929027699161793E-3</v>
      </c>
      <c r="E43" s="6">
        <f t="shared" si="4"/>
        <v>-1.1880407273385633E-2</v>
      </c>
      <c r="F43" s="2">
        <f t="shared" si="7"/>
        <v>2.8468944029887178</v>
      </c>
    </row>
    <row r="44" spans="1:6" x14ac:dyDescent="0.3">
      <c r="A44" s="1">
        <v>-4.6241860281677184E-2</v>
      </c>
      <c r="B44" s="1">
        <f t="shared" si="5"/>
        <v>-1.6973310043301812E-2</v>
      </c>
      <c r="C44" s="8">
        <f t="shared" si="2"/>
        <v>3.8374479400262541E-2</v>
      </c>
      <c r="D44" s="8">
        <f t="shared" si="6"/>
        <v>-6.5549375767909495E-3</v>
      </c>
      <c r="E44" s="6">
        <f t="shared" si="4"/>
        <v>-3.9686922704886232E-2</v>
      </c>
      <c r="F44" s="2">
        <f t="shared" si="7"/>
        <v>0.70814225019547994</v>
      </c>
    </row>
    <row r="45" spans="1:6" x14ac:dyDescent="0.3">
      <c r="A45" s="1">
        <v>8.4023858956866586E-3</v>
      </c>
      <c r="B45" s="1">
        <f t="shared" si="5"/>
        <v>-4.6241860281677184E-2</v>
      </c>
      <c r="C45" s="8">
        <f t="shared" si="2"/>
        <v>-1.6973310043301812E-2</v>
      </c>
      <c r="D45" s="8">
        <f t="shared" si="6"/>
        <v>2.1206961101744091E-3</v>
      </c>
      <c r="E45" s="6">
        <f t="shared" si="4"/>
        <v>6.281689785512249E-3</v>
      </c>
      <c r="F45" s="2">
        <f t="shared" si="7"/>
        <v>3.1095175468900744</v>
      </c>
    </row>
    <row r="46" spans="1:6" x14ac:dyDescent="0.3">
      <c r="A46" s="1">
        <v>-1.396833569489795E-2</v>
      </c>
      <c r="B46" s="1">
        <f t="shared" si="5"/>
        <v>8.4023858956866586E-3</v>
      </c>
      <c r="C46" s="8">
        <f t="shared" si="2"/>
        <v>-4.6241860281677184E-2</v>
      </c>
      <c r="D46" s="8">
        <f t="shared" si="6"/>
        <v>7.6772028364626745E-4</v>
      </c>
      <c r="E46" s="6">
        <f t="shared" si="4"/>
        <v>-1.4736055978544218E-2</v>
      </c>
      <c r="F46" s="2">
        <f t="shared" si="7"/>
        <v>2.6682551635035994</v>
      </c>
    </row>
    <row r="47" spans="1:6" x14ac:dyDescent="0.3">
      <c r="A47" s="1">
        <v>3.3573947052215891E-2</v>
      </c>
      <c r="B47" s="1">
        <f t="shared" si="5"/>
        <v>-1.396833569489795E-2</v>
      </c>
      <c r="C47" s="8">
        <f t="shared" si="2"/>
        <v>8.4023858956866586E-3</v>
      </c>
      <c r="D47" s="8">
        <f t="shared" si="6"/>
        <v>-3.4542509985266952E-3</v>
      </c>
      <c r="E47" s="6">
        <f t="shared" si="4"/>
        <v>3.7028198050742589E-2</v>
      </c>
      <c r="F47" s="2">
        <f t="shared" si="7"/>
        <v>0.91631730024519209</v>
      </c>
    </row>
    <row r="48" spans="1:6" x14ac:dyDescent="0.3">
      <c r="A48" s="1">
        <v>-1.5113404102073467E-3</v>
      </c>
      <c r="B48" s="1">
        <f t="shared" si="5"/>
        <v>3.3573947052215891E-2</v>
      </c>
      <c r="C48" s="8">
        <f t="shared" si="2"/>
        <v>-1.396833569489795E-2</v>
      </c>
      <c r="D48" s="8">
        <f t="shared" si="6"/>
        <v>-4.9777325817224371E-3</v>
      </c>
      <c r="E48" s="6">
        <f t="shared" si="4"/>
        <v>3.4663921715150903E-3</v>
      </c>
      <c r="F48" s="2">
        <f t="shared" si="7"/>
        <v>3.185774687949178</v>
      </c>
    </row>
    <row r="49" spans="1:6" x14ac:dyDescent="0.3">
      <c r="A49" s="1">
        <v>3.158293952718072E-2</v>
      </c>
      <c r="B49" s="1">
        <f t="shared" si="5"/>
        <v>-1.5113404102073467E-3</v>
      </c>
      <c r="C49" s="8">
        <f t="shared" si="2"/>
        <v>3.3573947052215891E-2</v>
      </c>
      <c r="D49" s="8">
        <f t="shared" si="6"/>
        <v>-7.3274803227019007E-3</v>
      </c>
      <c r="E49" s="6">
        <f t="shared" si="4"/>
        <v>3.8910419849882624E-2</v>
      </c>
      <c r="F49" s="2">
        <f t="shared" si="7"/>
        <v>0.76850886646889816</v>
      </c>
    </row>
    <row r="50" spans="1:6" x14ac:dyDescent="0.3">
      <c r="A50" s="1">
        <v>-3.063428114804579E-2</v>
      </c>
      <c r="B50" s="1">
        <f t="shared" si="5"/>
        <v>3.158293952718072E-2</v>
      </c>
      <c r="C50" s="8">
        <f t="shared" si="2"/>
        <v>-1.5113404102073467E-3</v>
      </c>
      <c r="D50" s="8">
        <f t="shared" si="6"/>
        <v>-6.2035698697197553E-3</v>
      </c>
      <c r="E50" s="6">
        <f t="shared" si="4"/>
        <v>-2.4430711278326037E-2</v>
      </c>
      <c r="F50" s="2">
        <f t="shared" si="7"/>
        <v>1.9368207721177739</v>
      </c>
    </row>
    <row r="51" spans="1:6" x14ac:dyDescent="0.3">
      <c r="A51" s="1">
        <v>1.3992932372128628E-2</v>
      </c>
      <c r="B51" s="1">
        <f t="shared" si="5"/>
        <v>-3.063428114804579E-2</v>
      </c>
      <c r="C51" s="8">
        <f t="shared" si="2"/>
        <v>3.158293952718072E-2</v>
      </c>
      <c r="D51" s="8">
        <f t="shared" si="6"/>
        <v>-4.6372849567290885E-3</v>
      </c>
      <c r="E51" s="6">
        <f t="shared" si="4"/>
        <v>1.8630217328857716E-2</v>
      </c>
      <c r="F51" s="2">
        <f t="shared" si="7"/>
        <v>2.3913777161617675</v>
      </c>
    </row>
    <row r="52" spans="1:6" x14ac:dyDescent="0.3">
      <c r="A52" s="1">
        <v>2.9627782859256067E-2</v>
      </c>
      <c r="B52" s="1">
        <f t="shared" si="5"/>
        <v>1.3992932372128628E-2</v>
      </c>
      <c r="C52" s="8">
        <f t="shared" si="2"/>
        <v>-3.063428114804579E-2</v>
      </c>
      <c r="D52" s="8">
        <f t="shared" si="6"/>
        <v>-1.453126472665006E-3</v>
      </c>
      <c r="E52" s="6">
        <f t="shared" si="4"/>
        <v>3.1080909331921074E-2</v>
      </c>
      <c r="F52" s="2">
        <f t="shared" si="7"/>
        <v>1.3946051353517193</v>
      </c>
    </row>
    <row r="53" spans="1:6" x14ac:dyDescent="0.3">
      <c r="A53" s="1">
        <v>3.1168300846664793E-2</v>
      </c>
      <c r="B53" s="1">
        <f t="shared" si="5"/>
        <v>2.9627782859256067E-2</v>
      </c>
      <c r="C53" s="8">
        <f t="shared" si="2"/>
        <v>1.3992932372128628E-2</v>
      </c>
      <c r="D53" s="8">
        <f t="shared" si="6"/>
        <v>-7.7735763512175871E-3</v>
      </c>
      <c r="E53" s="6">
        <f t="shared" si="4"/>
        <v>3.8941877197882377E-2</v>
      </c>
      <c r="F53" s="2">
        <f t="shared" si="7"/>
        <v>0.76605617380347368</v>
      </c>
    </row>
    <row r="54" spans="1:6" x14ac:dyDescent="0.3">
      <c r="A54" s="1">
        <v>-1.2323361977112295E-2</v>
      </c>
      <c r="B54" s="1">
        <f t="shared" si="5"/>
        <v>3.1168300846664793E-2</v>
      </c>
      <c r="C54" s="8">
        <f t="shared" si="2"/>
        <v>2.9627782859256067E-2</v>
      </c>
      <c r="D54" s="8">
        <f t="shared" si="6"/>
        <v>-9.6543557329333198E-3</v>
      </c>
      <c r="E54" s="6">
        <f t="shared" si="4"/>
        <v>-2.6690062441789755E-3</v>
      </c>
      <c r="F54" s="2">
        <f t="shared" si="7"/>
        <v>3.1996344776220109</v>
      </c>
    </row>
    <row r="55" spans="1:6" x14ac:dyDescent="0.3">
      <c r="A55" s="1">
        <v>-2.9673470715366767E-3</v>
      </c>
      <c r="B55" s="1">
        <f t="shared" si="5"/>
        <v>-1.2323361977112295E-2</v>
      </c>
      <c r="C55" s="8">
        <f t="shared" si="2"/>
        <v>3.1168300846664793E-2</v>
      </c>
      <c r="D55" s="8">
        <f t="shared" si="6"/>
        <v>-6.1421772561881388E-3</v>
      </c>
      <c r="E55" s="6">
        <f t="shared" si="4"/>
        <v>3.1748301846514621E-3</v>
      </c>
      <c r="F55" s="2">
        <f t="shared" si="7"/>
        <v>3.1912504458831412</v>
      </c>
    </row>
    <row r="56" spans="1:6" x14ac:dyDescent="0.3">
      <c r="A56" s="1">
        <v>1.3515258303113488E-2</v>
      </c>
      <c r="B56" s="1">
        <f t="shared" si="5"/>
        <v>-2.9673470715366767E-3</v>
      </c>
      <c r="C56" s="8">
        <f t="shared" si="2"/>
        <v>-1.2323361977112295E-2</v>
      </c>
      <c r="D56" s="8">
        <f t="shared" si="6"/>
        <v>-2.0660860364330263E-3</v>
      </c>
      <c r="E56" s="6">
        <f t="shared" si="4"/>
        <v>1.5581344339546515E-2</v>
      </c>
      <c r="F56" s="2">
        <f t="shared" si="7"/>
        <v>2.6109819961193259</v>
      </c>
    </row>
    <row r="57" spans="1:6" x14ac:dyDescent="0.3">
      <c r="A57" s="1">
        <v>-3.111461044623248E-4</v>
      </c>
      <c r="B57" s="1">
        <f t="shared" si="5"/>
        <v>1.3515258303113488E-2</v>
      </c>
      <c r="C57" s="8">
        <f t="shared" si="2"/>
        <v>-2.9673470715366767E-3</v>
      </c>
      <c r="D57" s="8">
        <f t="shared" si="6"/>
        <v>-4.5098727011461956E-3</v>
      </c>
      <c r="E57" s="6">
        <f t="shared" si="4"/>
        <v>4.1987265966838706E-3</v>
      </c>
      <c r="F57" s="2">
        <f t="shared" si="7"/>
        <v>3.1699726884869124</v>
      </c>
    </row>
    <row r="58" spans="1:6" x14ac:dyDescent="0.3">
      <c r="A58" s="1">
        <v>8.4232572890857501E-3</v>
      </c>
      <c r="B58" s="1">
        <f t="shared" si="5"/>
        <v>-3.111461044623248E-4</v>
      </c>
      <c r="C58" s="8">
        <f t="shared" si="2"/>
        <v>1.3515258303113488E-2</v>
      </c>
      <c r="D58" s="8">
        <f t="shared" si="6"/>
        <v>-5.183662386663495E-3</v>
      </c>
      <c r="E58" s="6">
        <f t="shared" si="4"/>
        <v>1.3606919675749245E-2</v>
      </c>
      <c r="F58" s="2">
        <f t="shared" si="7"/>
        <v>2.7418112855097645</v>
      </c>
    </row>
    <row r="59" spans="1:6" x14ac:dyDescent="0.3">
      <c r="A59" s="1">
        <v>-1.091591751034509E-2</v>
      </c>
      <c r="B59" s="1">
        <f t="shared" si="5"/>
        <v>8.4232572890857501E-3</v>
      </c>
      <c r="C59" s="8">
        <f t="shared" si="2"/>
        <v>-3.111461044623248E-4</v>
      </c>
      <c r="D59" s="8">
        <f t="shared" si="6"/>
        <v>-4.37582825988526E-3</v>
      </c>
      <c r="E59" s="6">
        <f t="shared" si="4"/>
        <v>-6.5400892504598298E-3</v>
      </c>
      <c r="F59" s="2">
        <f t="shared" si="7"/>
        <v>3.1004778229426182</v>
      </c>
    </row>
    <row r="60" spans="1:6" x14ac:dyDescent="0.3">
      <c r="A60" s="1">
        <v>3.5576983287093039E-3</v>
      </c>
      <c r="B60" s="1">
        <f t="shared" si="5"/>
        <v>-1.091591751034509E-2</v>
      </c>
      <c r="C60" s="8">
        <f t="shared" si="2"/>
        <v>8.4232572890857501E-3</v>
      </c>
      <c r="D60" s="8">
        <f t="shared" si="6"/>
        <v>-3.715189771560894E-3</v>
      </c>
      <c r="E60" s="6">
        <f t="shared" si="4"/>
        <v>7.2728881002701983E-3</v>
      </c>
      <c r="F60" s="2">
        <f t="shared" si="7"/>
        <v>3.0730751789692414</v>
      </c>
    </row>
    <row r="61" spans="1:6" x14ac:dyDescent="0.3">
      <c r="A61" s="1">
        <v>2.2559098370259743E-2</v>
      </c>
      <c r="B61" s="1">
        <f t="shared" si="5"/>
        <v>3.5576983287093039E-3</v>
      </c>
      <c r="C61" s="8">
        <f t="shared" si="2"/>
        <v>-1.091591751034509E-2</v>
      </c>
      <c r="D61" s="8">
        <f t="shared" si="6"/>
        <v>-2.7764493401321857E-3</v>
      </c>
      <c r="E61" s="6">
        <f t="shared" si="4"/>
        <v>2.5335547710391929E-2</v>
      </c>
      <c r="F61" s="2">
        <f t="shared" si="7"/>
        <v>1.8635259935743276</v>
      </c>
    </row>
    <row r="62" spans="1:6" x14ac:dyDescent="0.3">
      <c r="A62" s="1">
        <v>3.6772182861519631E-3</v>
      </c>
      <c r="B62" s="1">
        <f t="shared" si="5"/>
        <v>2.2559098370259743E-2</v>
      </c>
      <c r="C62" s="8">
        <f t="shared" si="2"/>
        <v>3.5576983287093039E-3</v>
      </c>
      <c r="D62" s="8">
        <f t="shared" si="6"/>
        <v>-6.0065267129279371E-3</v>
      </c>
      <c r="E62" s="6">
        <f t="shared" si="4"/>
        <v>9.6837449990798997E-3</v>
      </c>
      <c r="F62" s="2">
        <f t="shared" si="7"/>
        <v>2.9655683843517711</v>
      </c>
    </row>
    <row r="63" spans="1:6" x14ac:dyDescent="0.3">
      <c r="A63" s="1">
        <v>-2.157014119005975E-2</v>
      </c>
      <c r="B63" s="1">
        <f t="shared" si="5"/>
        <v>3.6772182861519631E-3</v>
      </c>
      <c r="C63" s="8">
        <f t="shared" si="2"/>
        <v>2.2559098370259743E-2</v>
      </c>
      <c r="D63" s="8">
        <f t="shared" si="6"/>
        <v>-6.5339842535949311E-3</v>
      </c>
      <c r="E63" s="6">
        <f t="shared" si="4"/>
        <v>-1.5036156936464819E-2</v>
      </c>
      <c r="F63" s="2">
        <f t="shared" si="7"/>
        <v>2.6481271693246238</v>
      </c>
    </row>
    <row r="64" spans="1:6" x14ac:dyDescent="0.3">
      <c r="A64" s="1">
        <v>1.4779717410937317E-2</v>
      </c>
      <c r="B64" s="1">
        <f t="shared" si="5"/>
        <v>-2.157014119005975E-2</v>
      </c>
      <c r="C64" s="8">
        <f t="shared" si="2"/>
        <v>3.6772182861519631E-3</v>
      </c>
      <c r="D64" s="8">
        <f t="shared" si="6"/>
        <v>-2.2812567550234576E-3</v>
      </c>
      <c r="E64" s="6">
        <f t="shared" si="4"/>
        <v>1.7060974165960772E-2</v>
      </c>
      <c r="F64" s="2">
        <f t="shared" si="7"/>
        <v>2.5067202817862695</v>
      </c>
    </row>
    <row r="65" spans="1:6" x14ac:dyDescent="0.3">
      <c r="A65" s="1">
        <v>-3.2480480135294036E-3</v>
      </c>
      <c r="B65" s="1">
        <f t="shared" si="5"/>
        <v>1.4779717410937317E-2</v>
      </c>
      <c r="C65" s="8">
        <f t="shared" si="2"/>
        <v>-2.157014119005975E-2</v>
      </c>
      <c r="D65" s="8">
        <f t="shared" si="6"/>
        <v>-2.5344815418178019E-3</v>
      </c>
      <c r="E65" s="6">
        <f t="shared" si="4"/>
        <v>-7.1356647171160175E-4</v>
      </c>
      <c r="F65" s="2">
        <f t="shared" si="7"/>
        <v>3.2185049780297401</v>
      </c>
    </row>
    <row r="66" spans="1:6" x14ac:dyDescent="0.3">
      <c r="A66" s="1">
        <v>-1.6023588220961671E-2</v>
      </c>
      <c r="B66" s="1">
        <f t="shared" si="5"/>
        <v>-3.2480480135294036E-3</v>
      </c>
      <c r="C66" s="8">
        <f t="shared" si="2"/>
        <v>1.4779717410937317E-2</v>
      </c>
      <c r="D66" s="8">
        <f t="shared" si="6"/>
        <v>-5.0763983906617627E-3</v>
      </c>
      <c r="E66" s="6">
        <f t="shared" si="4"/>
        <v>-1.0947189830299908E-2</v>
      </c>
      <c r="F66" s="2">
        <f t="shared" si="7"/>
        <v>2.8995193385783251</v>
      </c>
    </row>
    <row r="67" spans="1:6" x14ac:dyDescent="0.3">
      <c r="A67" s="1">
        <v>-7.4067235146407992E-3</v>
      </c>
      <c r="B67" s="1">
        <f t="shared" ref="B67:B98" si="8">A66</f>
        <v>-1.6023588220961671E-2</v>
      </c>
      <c r="C67" s="8">
        <f t="shared" si="2"/>
        <v>-3.2480480135294036E-3</v>
      </c>
      <c r="D67" s="8">
        <f t="shared" si="6"/>
        <v>-1.9759043497309873E-3</v>
      </c>
      <c r="E67" s="6">
        <f t="shared" si="4"/>
        <v>-5.4308191649098114E-3</v>
      </c>
      <c r="F67" s="2">
        <f t="shared" si="7"/>
        <v>3.1369218852192575</v>
      </c>
    </row>
    <row r="68" spans="1:6" x14ac:dyDescent="0.3">
      <c r="A68" s="1">
        <v>-1.4907850564389136E-2</v>
      </c>
      <c r="B68" s="1">
        <f t="shared" si="8"/>
        <v>-7.4067235146407992E-3</v>
      </c>
      <c r="C68" s="8">
        <f t="shared" si="2"/>
        <v>-1.6023588220961671E-2</v>
      </c>
      <c r="D68" s="8">
        <f t="shared" ref="D68:D99" si="9">$I$8+$I$9*B68+$I$10*C68</f>
        <v>-1.2757528050642143E-3</v>
      </c>
      <c r="E68" s="6">
        <f t="shared" si="4"/>
        <v>-1.3632097759324922E-2</v>
      </c>
      <c r="F68" s="2">
        <f t="shared" ref="F68:F99" si="10">LN(_xlfn.GAMMA(($I$12+1)/2))-LN($I$11)-0.5*LN($I$12*PI())-LN(_xlfn.GAMMA($I$12/2))-($I$12+1)/2*LN(1+E68^2/($I$12*($I$11^2)))</f>
        <v>2.7402104088127013</v>
      </c>
    </row>
    <row r="69" spans="1:6" x14ac:dyDescent="0.3">
      <c r="A69" s="1">
        <v>4.0560403541146338E-3</v>
      </c>
      <c r="B69" s="1">
        <f t="shared" si="8"/>
        <v>-1.4907850564389136E-2</v>
      </c>
      <c r="C69" s="8">
        <f t="shared" ref="C69:C110" si="11">A67</f>
        <v>-7.4067235146407992E-3</v>
      </c>
      <c r="D69" s="8">
        <f t="shared" si="9"/>
        <v>-1.6048812142517221E-3</v>
      </c>
      <c r="E69" s="6">
        <f t="shared" ref="E69:E110" si="12">A69-D69</f>
        <v>5.6609215683663559E-3</v>
      </c>
      <c r="F69" s="2">
        <f t="shared" si="10"/>
        <v>3.1298729410895021</v>
      </c>
    </row>
    <row r="70" spans="1:6" x14ac:dyDescent="0.3">
      <c r="A70" s="1">
        <v>1.7391660022175265E-2</v>
      </c>
      <c r="B70" s="1">
        <f t="shared" si="8"/>
        <v>4.0560403541146338E-3</v>
      </c>
      <c r="C70" s="8">
        <f t="shared" si="11"/>
        <v>-1.4907850564389136E-2</v>
      </c>
      <c r="D70" s="8">
        <f t="shared" si="9"/>
        <v>-2.3717863830260751E-3</v>
      </c>
      <c r="E70" s="6">
        <f t="shared" si="12"/>
        <v>1.9763446405201342E-2</v>
      </c>
      <c r="F70" s="2">
        <f t="shared" si="10"/>
        <v>2.3055539706166472</v>
      </c>
    </row>
    <row r="71" spans="1:6" x14ac:dyDescent="0.3">
      <c r="A71" s="1">
        <v>-1.3113199864731065E-2</v>
      </c>
      <c r="B71" s="1">
        <f t="shared" si="8"/>
        <v>1.7391660022175265E-2</v>
      </c>
      <c r="C71" s="8">
        <f t="shared" si="11"/>
        <v>4.0560403541146338E-3</v>
      </c>
      <c r="D71" s="8">
        <f t="shared" si="9"/>
        <v>-5.6245265415315725E-3</v>
      </c>
      <c r="E71" s="6">
        <f t="shared" si="12"/>
        <v>-7.4886733231994927E-3</v>
      </c>
      <c r="F71" s="2">
        <f t="shared" si="10"/>
        <v>3.0645180335236821</v>
      </c>
    </row>
    <row r="72" spans="1:6" x14ac:dyDescent="0.3">
      <c r="A72" s="1">
        <v>4.9114865793835512E-3</v>
      </c>
      <c r="B72" s="1">
        <f t="shared" si="8"/>
        <v>-1.3113199864731065E-2</v>
      </c>
      <c r="C72" s="8">
        <f t="shared" si="11"/>
        <v>1.7391660022175265E-2</v>
      </c>
      <c r="D72" s="8">
        <f t="shared" si="9"/>
        <v>-4.5330158147389244E-3</v>
      </c>
      <c r="E72" s="6">
        <f t="shared" si="12"/>
        <v>9.4445023941224747E-3</v>
      </c>
      <c r="F72" s="2">
        <f t="shared" si="10"/>
        <v>2.9773597953385145</v>
      </c>
    </row>
    <row r="73" spans="1:6" x14ac:dyDescent="0.3">
      <c r="A73" s="1">
        <v>-5.3127112753693327E-3</v>
      </c>
      <c r="B73" s="1">
        <f t="shared" si="8"/>
        <v>4.9114865793835512E-3</v>
      </c>
      <c r="C73" s="8">
        <f t="shared" si="11"/>
        <v>-1.3113199864731065E-2</v>
      </c>
      <c r="D73" s="8">
        <f t="shared" si="9"/>
        <v>-2.6451649582411954E-3</v>
      </c>
      <c r="E73" s="6">
        <f t="shared" si="12"/>
        <v>-2.6675463171281374E-3</v>
      </c>
      <c r="F73" s="2">
        <f t="shared" si="10"/>
        <v>3.1996566152072807</v>
      </c>
    </row>
    <row r="74" spans="1:6" x14ac:dyDescent="0.3">
      <c r="A74" s="1">
        <v>-1.1846287575402419E-2</v>
      </c>
      <c r="B74" s="1">
        <f t="shared" si="8"/>
        <v>-5.3127112753693327E-3</v>
      </c>
      <c r="C74" s="8">
        <f t="shared" si="11"/>
        <v>4.9114865793835512E-3</v>
      </c>
      <c r="D74" s="8">
        <f t="shared" si="9"/>
        <v>-3.7967657642132557E-3</v>
      </c>
      <c r="E74" s="6">
        <f t="shared" si="12"/>
        <v>-8.0495218111891632E-3</v>
      </c>
      <c r="F74" s="2">
        <f t="shared" si="10"/>
        <v>3.0412661479343694</v>
      </c>
    </row>
    <row r="75" spans="1:6" x14ac:dyDescent="0.3">
      <c r="A75" s="1">
        <v>-1.0062446278702496E-2</v>
      </c>
      <c r="B75" s="1">
        <f t="shared" si="8"/>
        <v>-1.1846287575402419E-2</v>
      </c>
      <c r="C75" s="8">
        <f t="shared" si="11"/>
        <v>-5.3127112753693327E-3</v>
      </c>
      <c r="D75" s="8">
        <f t="shared" si="9"/>
        <v>-2.0986754934285506E-3</v>
      </c>
      <c r="E75" s="6">
        <f t="shared" si="12"/>
        <v>-7.9637707852739451E-3</v>
      </c>
      <c r="F75" s="2">
        <f t="shared" si="10"/>
        <v>3.0449146009742964</v>
      </c>
    </row>
    <row r="76" spans="1:6" x14ac:dyDescent="0.3">
      <c r="A76" s="1">
        <v>-9.3461604579627815E-3</v>
      </c>
      <c r="B76" s="1">
        <f t="shared" si="8"/>
        <v>-1.0062446278702496E-2</v>
      </c>
      <c r="C76" s="8">
        <f t="shared" si="11"/>
        <v>-1.1846287575402419E-2</v>
      </c>
      <c r="D76" s="8">
        <f t="shared" si="9"/>
        <v>-1.5183927015257387E-3</v>
      </c>
      <c r="E76" s="6">
        <f t="shared" si="12"/>
        <v>-7.8277677564370426E-3</v>
      </c>
      <c r="F76" s="2">
        <f t="shared" si="10"/>
        <v>3.0506324637462283</v>
      </c>
    </row>
    <row r="77" spans="1:6" x14ac:dyDescent="0.3">
      <c r="A77" s="1">
        <v>-2.771243314450459E-2</v>
      </c>
      <c r="B77" s="1">
        <f t="shared" si="8"/>
        <v>-9.3461604579627815E-3</v>
      </c>
      <c r="C77" s="8">
        <f t="shared" si="11"/>
        <v>-1.0062446278702496E-2</v>
      </c>
      <c r="D77" s="8">
        <f t="shared" si="9"/>
        <v>-1.7787714679868827E-3</v>
      </c>
      <c r="E77" s="6">
        <f t="shared" si="12"/>
        <v>-2.5933661676517707E-2</v>
      </c>
      <c r="F77" s="2">
        <f t="shared" si="10"/>
        <v>1.8149000385756355</v>
      </c>
    </row>
    <row r="78" spans="1:6" x14ac:dyDescent="0.3">
      <c r="A78" s="1">
        <v>-2.7621552263994858E-2</v>
      </c>
      <c r="B78" s="1">
        <f t="shared" si="8"/>
        <v>-2.771243314450459E-2</v>
      </c>
      <c r="C78" s="8">
        <f t="shared" si="11"/>
        <v>-9.3461604579627815E-3</v>
      </c>
      <c r="D78" s="8">
        <f t="shared" si="9"/>
        <v>-3.0295791874218061E-4</v>
      </c>
      <c r="E78" s="6">
        <f t="shared" si="12"/>
        <v>-2.7318594345252679E-2</v>
      </c>
      <c r="F78" s="2">
        <f t="shared" si="10"/>
        <v>1.7019420914006322</v>
      </c>
    </row>
    <row r="79" spans="1:6" x14ac:dyDescent="0.3">
      <c r="A79" s="1">
        <v>-1.2101793129502686E-2</v>
      </c>
      <c r="B79" s="1">
        <f t="shared" si="8"/>
        <v>-2.7621552263994858E-2</v>
      </c>
      <c r="C79" s="8">
        <f t="shared" si="11"/>
        <v>-2.771243314450459E-2</v>
      </c>
      <c r="D79" s="8">
        <f t="shared" si="9"/>
        <v>1.7453816020947988E-3</v>
      </c>
      <c r="E79" s="6">
        <f t="shared" si="12"/>
        <v>-1.3847174731597484E-2</v>
      </c>
      <c r="F79" s="2">
        <f t="shared" si="10"/>
        <v>2.7264600777060393</v>
      </c>
    </row>
    <row r="80" spans="1:6" x14ac:dyDescent="0.3">
      <c r="A80" s="1">
        <v>-7.07494583715443E-3</v>
      </c>
      <c r="B80" s="1">
        <f t="shared" si="8"/>
        <v>-1.2101793129502686E-2</v>
      </c>
      <c r="C80" s="8">
        <f t="shared" si="11"/>
        <v>-2.7621552263994858E-2</v>
      </c>
      <c r="D80" s="8">
        <f t="shared" si="9"/>
        <v>4.2036656566024231E-4</v>
      </c>
      <c r="E80" s="6">
        <f t="shared" si="12"/>
        <v>-7.4953124028146727E-3</v>
      </c>
      <c r="F80" s="2">
        <f t="shared" si="10"/>
        <v>3.0642512930528913</v>
      </c>
    </row>
    <row r="81" spans="1:6" x14ac:dyDescent="0.3">
      <c r="A81" s="1">
        <v>7.0603664237087031E-4</v>
      </c>
      <c r="B81" s="1">
        <f t="shared" si="8"/>
        <v>-7.07494583715443E-3</v>
      </c>
      <c r="C81" s="8">
        <f t="shared" si="11"/>
        <v>-1.2101793129502686E-2</v>
      </c>
      <c r="D81" s="8">
        <f t="shared" si="9"/>
        <v>-1.7428921954429502E-3</v>
      </c>
      <c r="E81" s="6">
        <f t="shared" si="12"/>
        <v>2.4489288378138204E-3</v>
      </c>
      <c r="F81" s="2">
        <f t="shared" si="10"/>
        <v>3.2028370915573738</v>
      </c>
    </row>
    <row r="82" spans="1:6" x14ac:dyDescent="0.3">
      <c r="A82" s="1">
        <v>-1.4054857363314976E-2</v>
      </c>
      <c r="B82" s="1">
        <f t="shared" si="8"/>
        <v>7.0603664237087031E-4</v>
      </c>
      <c r="C82" s="8">
        <f t="shared" si="11"/>
        <v>-7.07494583715443E-3</v>
      </c>
      <c r="D82" s="8">
        <f t="shared" si="9"/>
        <v>-2.9648383657175075E-3</v>
      </c>
      <c r="E82" s="6">
        <f t="shared" si="12"/>
        <v>-1.1090018997597468E-2</v>
      </c>
      <c r="F82" s="2">
        <f t="shared" si="10"/>
        <v>2.8916688015679934</v>
      </c>
    </row>
    <row r="83" spans="1:6" x14ac:dyDescent="0.3">
      <c r="A83" s="1">
        <v>-1.8505920324844553E-2</v>
      </c>
      <c r="B83" s="1">
        <f t="shared" si="8"/>
        <v>-1.4054857363314976E-2</v>
      </c>
      <c r="C83" s="8">
        <f t="shared" si="11"/>
        <v>7.0603664237087031E-4</v>
      </c>
      <c r="D83" s="8">
        <f t="shared" si="9"/>
        <v>-2.5853418803619089E-3</v>
      </c>
      <c r="E83" s="6">
        <f t="shared" si="12"/>
        <v>-1.5920578444482643E-2</v>
      </c>
      <c r="F83" s="2">
        <f t="shared" si="10"/>
        <v>2.5875082312619697</v>
      </c>
    </row>
    <row r="84" spans="1:6" x14ac:dyDescent="0.3">
      <c r="A84" s="1">
        <v>-6.3190929100701192E-3</v>
      </c>
      <c r="B84" s="1">
        <f t="shared" si="8"/>
        <v>-1.8505920324844553E-2</v>
      </c>
      <c r="C84" s="8">
        <f t="shared" si="11"/>
        <v>-1.4054857363314976E-2</v>
      </c>
      <c r="D84" s="8">
        <f t="shared" si="9"/>
        <v>-5.5581609250255032E-4</v>
      </c>
      <c r="E84" s="6">
        <f t="shared" si="12"/>
        <v>-5.7632768175675687E-3</v>
      </c>
      <c r="F84" s="2">
        <f t="shared" si="10"/>
        <v>3.126650515016749</v>
      </c>
    </row>
    <row r="85" spans="1:6" x14ac:dyDescent="0.3">
      <c r="A85" s="1">
        <v>-2.6108049785049416E-2</v>
      </c>
      <c r="B85" s="1">
        <f t="shared" si="8"/>
        <v>-6.3190929100701192E-3</v>
      </c>
      <c r="C85" s="8">
        <f t="shared" si="11"/>
        <v>-1.8505920324844553E-2</v>
      </c>
      <c r="D85" s="8">
        <f t="shared" si="9"/>
        <v>-1.0900091160685461E-3</v>
      </c>
      <c r="E85" s="6">
        <f t="shared" si="12"/>
        <v>-2.5018040668980869E-2</v>
      </c>
      <c r="F85" s="2">
        <f t="shared" si="10"/>
        <v>1.8892857688972573</v>
      </c>
    </row>
    <row r="86" spans="1:6" x14ac:dyDescent="0.3">
      <c r="A86" s="1">
        <v>-4.0215350911148391E-4</v>
      </c>
      <c r="B86" s="1">
        <f t="shared" si="8"/>
        <v>-2.6108049785049416E-2</v>
      </c>
      <c r="C86" s="8">
        <f t="shared" si="11"/>
        <v>-6.3190929100701192E-3</v>
      </c>
      <c r="D86" s="8">
        <f t="shared" si="9"/>
        <v>-7.7775148656510171E-4</v>
      </c>
      <c r="E86" s="6">
        <f t="shared" si="12"/>
        <v>3.755979774536178E-4</v>
      </c>
      <c r="F86" s="2">
        <f t="shared" si="10"/>
        <v>3.2195596505943258</v>
      </c>
    </row>
    <row r="87" spans="1:6" x14ac:dyDescent="0.3">
      <c r="A87" s="1">
        <v>-2.1647354374838886E-2</v>
      </c>
      <c r="B87" s="1">
        <f t="shared" si="8"/>
        <v>-4.0215350911148391E-4</v>
      </c>
      <c r="C87" s="8">
        <f t="shared" si="11"/>
        <v>-2.6108049785049416E-2</v>
      </c>
      <c r="D87" s="8">
        <f t="shared" si="9"/>
        <v>-7.4026359567867187E-4</v>
      </c>
      <c r="E87" s="6">
        <f t="shared" si="12"/>
        <v>-2.0907090779160215E-2</v>
      </c>
      <c r="F87" s="2">
        <f t="shared" si="10"/>
        <v>2.2171684034133117</v>
      </c>
    </row>
    <row r="88" spans="1:6" x14ac:dyDescent="0.3">
      <c r="A88" s="1">
        <v>-4.7003202669176538E-3</v>
      </c>
      <c r="B88" s="1">
        <f t="shared" si="8"/>
        <v>-2.1647354374838886E-2</v>
      </c>
      <c r="C88" s="8">
        <f t="shared" si="11"/>
        <v>-4.0215350911148391E-4</v>
      </c>
      <c r="D88" s="8">
        <f t="shared" si="9"/>
        <v>-1.8180440351096749E-3</v>
      </c>
      <c r="E88" s="6">
        <f t="shared" si="12"/>
        <v>-2.8822762318079787E-3</v>
      </c>
      <c r="F88" s="2">
        <f t="shared" si="10"/>
        <v>3.1962728754240191</v>
      </c>
    </row>
    <row r="89" spans="1:6" x14ac:dyDescent="0.3">
      <c r="A89" s="1">
        <v>-6.8076492675115524E-4</v>
      </c>
      <c r="B89" s="1">
        <f t="shared" si="8"/>
        <v>-4.7003202669176538E-3</v>
      </c>
      <c r="C89" s="8">
        <f t="shared" si="11"/>
        <v>-2.1647354374838886E-2</v>
      </c>
      <c r="D89" s="8">
        <f t="shared" si="9"/>
        <v>-8.7547990694827665E-4</v>
      </c>
      <c r="E89" s="6">
        <f t="shared" si="12"/>
        <v>1.9471498019712141E-4</v>
      </c>
      <c r="F89" s="2">
        <f t="shared" si="10"/>
        <v>3.2198553052167442</v>
      </c>
    </row>
    <row r="90" spans="1:6" x14ac:dyDescent="0.3">
      <c r="A90" s="1">
        <v>-1.5514918112054682E-2</v>
      </c>
      <c r="B90" s="1">
        <f t="shared" si="8"/>
        <v>-6.8076492675115524E-4</v>
      </c>
      <c r="C90" s="8">
        <f t="shared" si="11"/>
        <v>-4.7003202669176538E-3</v>
      </c>
      <c r="D90" s="8">
        <f t="shared" si="9"/>
        <v>-3.1131787869491906E-3</v>
      </c>
      <c r="E90" s="6">
        <f t="shared" si="12"/>
        <v>-1.2401739325105491E-2</v>
      </c>
      <c r="F90" s="2">
        <f t="shared" si="10"/>
        <v>2.81617610507955</v>
      </c>
    </row>
    <row r="91" spans="1:6" x14ac:dyDescent="0.3">
      <c r="A91" s="1">
        <v>4.2820917534727845E-2</v>
      </c>
      <c r="B91" s="1">
        <f t="shared" si="8"/>
        <v>-1.5514918112054682E-2</v>
      </c>
      <c r="C91" s="8">
        <f t="shared" si="11"/>
        <v>-6.8076492675115524E-4</v>
      </c>
      <c r="D91" s="8">
        <f t="shared" si="9"/>
        <v>-2.30639734175488E-3</v>
      </c>
      <c r="E91" s="6">
        <f t="shared" si="12"/>
        <v>4.5127314876482728E-2</v>
      </c>
      <c r="F91" s="2">
        <f t="shared" si="10"/>
        <v>0.29621207062105626</v>
      </c>
    </row>
    <row r="92" spans="1:6" x14ac:dyDescent="0.3">
      <c r="A92" s="1">
        <v>-1.9331893714266387E-3</v>
      </c>
      <c r="B92" s="1">
        <f t="shared" si="8"/>
        <v>4.2820917534727845E-2</v>
      </c>
      <c r="C92" s="8">
        <f t="shared" si="11"/>
        <v>-1.5514918112054682E-2</v>
      </c>
      <c r="D92" s="8">
        <f t="shared" si="9"/>
        <v>-5.5880058329168336E-3</v>
      </c>
      <c r="E92" s="6">
        <f t="shared" si="12"/>
        <v>3.654816461490195E-3</v>
      </c>
      <c r="F92" s="2">
        <f t="shared" si="10"/>
        <v>3.1819877024733199</v>
      </c>
    </row>
    <row r="93" spans="1:6" x14ac:dyDescent="0.3">
      <c r="A93" s="1">
        <v>2.1517795949443478E-2</v>
      </c>
      <c r="B93" s="1">
        <f t="shared" si="8"/>
        <v>-1.9331893714266387E-3</v>
      </c>
      <c r="C93" s="8">
        <f t="shared" si="11"/>
        <v>4.2820917534727845E-2</v>
      </c>
      <c r="D93" s="8">
        <f t="shared" si="9"/>
        <v>-8.3269065825206916E-3</v>
      </c>
      <c r="E93" s="6">
        <f t="shared" si="12"/>
        <v>2.9844702531964168E-2</v>
      </c>
      <c r="F93" s="2">
        <f t="shared" si="10"/>
        <v>1.4954605210790928</v>
      </c>
    </row>
    <row r="94" spans="1:6" x14ac:dyDescent="0.3">
      <c r="A94" s="1">
        <v>6.2738916563659201E-4</v>
      </c>
      <c r="B94" s="1">
        <f t="shared" si="8"/>
        <v>2.1517795949443478E-2</v>
      </c>
      <c r="C94" s="8">
        <f t="shared" si="11"/>
        <v>-1.9331893714266387E-3</v>
      </c>
      <c r="D94" s="8">
        <f t="shared" si="9"/>
        <v>-5.3036217105762494E-3</v>
      </c>
      <c r="E94" s="6">
        <f t="shared" si="12"/>
        <v>5.9310108762128414E-3</v>
      </c>
      <c r="F94" s="2">
        <f t="shared" si="10"/>
        <v>3.1212549147656827</v>
      </c>
    </row>
    <row r="95" spans="1:6" x14ac:dyDescent="0.3">
      <c r="A95" s="1">
        <v>-1.4130718514909397E-2</v>
      </c>
      <c r="B95" s="1">
        <f t="shared" si="8"/>
        <v>6.2738916563659201E-4</v>
      </c>
      <c r="C95" s="8">
        <f t="shared" si="11"/>
        <v>2.1517795949443478E-2</v>
      </c>
      <c r="D95" s="8">
        <f t="shared" si="9"/>
        <v>-6.1590311982586158E-3</v>
      </c>
      <c r="E95" s="6">
        <f t="shared" si="12"/>
        <v>-7.9716873166507801E-3</v>
      </c>
      <c r="F95" s="2">
        <f t="shared" si="10"/>
        <v>3.0445791749442774</v>
      </c>
    </row>
    <row r="96" spans="1:6" x14ac:dyDescent="0.3">
      <c r="A96" s="1">
        <v>3.5177864130025382E-3</v>
      </c>
      <c r="B96" s="1">
        <f t="shared" si="8"/>
        <v>-1.4130718514909397E-2</v>
      </c>
      <c r="C96" s="8">
        <f t="shared" si="11"/>
        <v>6.2738916563659201E-4</v>
      </c>
      <c r="D96" s="8">
        <f t="shared" si="9"/>
        <v>-2.570110582486847E-3</v>
      </c>
      <c r="E96" s="6">
        <f t="shared" si="12"/>
        <v>6.0878969954893851E-3</v>
      </c>
      <c r="F96" s="2">
        <f t="shared" si="10"/>
        <v>3.1160799167685749</v>
      </c>
    </row>
    <row r="97" spans="1:6" x14ac:dyDescent="0.3">
      <c r="A97" s="1">
        <v>2.9956405324236664E-2</v>
      </c>
      <c r="B97" s="1">
        <f t="shared" si="8"/>
        <v>3.5177864130025382E-3</v>
      </c>
      <c r="C97" s="8">
        <f t="shared" si="11"/>
        <v>-1.4130718514909397E-2</v>
      </c>
      <c r="D97" s="8">
        <f t="shared" si="9"/>
        <v>-2.4131824302827385E-3</v>
      </c>
      <c r="E97" s="6">
        <f t="shared" si="12"/>
        <v>3.2369587754519404E-2</v>
      </c>
      <c r="F97" s="2">
        <f t="shared" si="10"/>
        <v>1.2898339464115069</v>
      </c>
    </row>
    <row r="98" spans="1:6" x14ac:dyDescent="0.3">
      <c r="A98" s="1">
        <v>-1.4194900955062392E-2</v>
      </c>
      <c r="B98" s="1">
        <f t="shared" si="8"/>
        <v>2.9956405324236664E-2</v>
      </c>
      <c r="C98" s="8">
        <f t="shared" si="11"/>
        <v>3.5177864130025382E-3</v>
      </c>
      <c r="D98" s="8">
        <f t="shared" si="9"/>
        <v>-6.6287620168720167E-3</v>
      </c>
      <c r="E98" s="6">
        <f t="shared" si="12"/>
        <v>-7.5661389381903752E-3</v>
      </c>
      <c r="F98" s="2">
        <f t="shared" si="10"/>
        <v>3.0613928763626435</v>
      </c>
    </row>
    <row r="99" spans="1:6" x14ac:dyDescent="0.3">
      <c r="A99" s="1">
        <v>-7.983277605464292E-3</v>
      </c>
      <c r="B99" s="1">
        <f t="shared" ref="B99:B110" si="13">A98</f>
        <v>-1.4194900955062392E-2</v>
      </c>
      <c r="C99" s="8">
        <f t="shared" si="11"/>
        <v>2.9956405324236664E-2</v>
      </c>
      <c r="D99" s="8">
        <f t="shared" si="9"/>
        <v>-5.8479522004337408E-3</v>
      </c>
      <c r="E99" s="6">
        <f t="shared" si="12"/>
        <v>-2.1353254050305512E-3</v>
      </c>
      <c r="F99" s="2">
        <f t="shared" si="10"/>
        <v>3.2069312358163229</v>
      </c>
    </row>
    <row r="100" spans="1:6" x14ac:dyDescent="0.3">
      <c r="A100" s="1">
        <v>1.6795893222117012E-2</v>
      </c>
      <c r="B100" s="1">
        <f t="shared" si="13"/>
        <v>-7.983277605464292E-3</v>
      </c>
      <c r="C100" s="8">
        <f t="shared" si="11"/>
        <v>-1.4194900955062392E-2</v>
      </c>
      <c r="D100" s="8">
        <f t="shared" ref="D100:D110" si="14">$I$8+$I$9*B100+$I$10*C100</f>
        <v>-1.431621917168365E-3</v>
      </c>
      <c r="E100" s="6">
        <f t="shared" si="12"/>
        <v>1.8227515139285378E-2</v>
      </c>
      <c r="F100" s="2">
        <f t="shared" ref="F100:F131" si="15">LN(_xlfn.GAMMA(($I$12+1)/2))-LN($I$11)-0.5*LN($I$12*PI())-LN(_xlfn.GAMMA($I$12/2))-($I$12+1)/2*LN(1+E100^2/($I$12*($I$11^2)))</f>
        <v>2.4213934209427057</v>
      </c>
    </row>
    <row r="101" spans="1:6" x14ac:dyDescent="0.3">
      <c r="A101" s="1">
        <v>-8.9782855032163808E-3</v>
      </c>
      <c r="B101" s="1">
        <f t="shared" si="13"/>
        <v>1.6795893222117012E-2</v>
      </c>
      <c r="C101" s="8">
        <f t="shared" si="11"/>
        <v>-7.983277605464292E-3</v>
      </c>
      <c r="D101" s="8">
        <f t="shared" si="14"/>
        <v>-4.2262940171627558E-3</v>
      </c>
      <c r="E101" s="6">
        <f t="shared" si="12"/>
        <v>-4.751991486053625E-3</v>
      </c>
      <c r="F101" s="2">
        <f t="shared" si="15"/>
        <v>3.1561206337545835</v>
      </c>
    </row>
    <row r="102" spans="1:6" x14ac:dyDescent="0.3">
      <c r="A102" s="1">
        <v>2.6121050809678623E-2</v>
      </c>
      <c r="B102" s="1">
        <f t="shared" si="13"/>
        <v>-8.9782855032163808E-3</v>
      </c>
      <c r="C102" s="8">
        <f t="shared" si="11"/>
        <v>1.6795893222117012E-2</v>
      </c>
      <c r="D102" s="8">
        <f t="shared" si="14"/>
        <v>-4.8166337141244964E-3</v>
      </c>
      <c r="E102" s="6">
        <f t="shared" si="12"/>
        <v>3.0937684523803119E-2</v>
      </c>
      <c r="F102" s="2">
        <f t="shared" si="15"/>
        <v>1.4062753484901194</v>
      </c>
    </row>
    <row r="103" spans="1:6" x14ac:dyDescent="0.3">
      <c r="A103" s="1">
        <v>-8.4668197265507141E-3</v>
      </c>
      <c r="B103" s="1">
        <f t="shared" si="13"/>
        <v>2.6121050809678623E-2</v>
      </c>
      <c r="C103" s="8">
        <f t="shared" si="11"/>
        <v>-8.9782855032163808E-3</v>
      </c>
      <c r="D103" s="8">
        <f t="shared" si="14"/>
        <v>-4.9049381247175221E-3</v>
      </c>
      <c r="E103" s="6">
        <f t="shared" si="12"/>
        <v>-3.561881601833192E-3</v>
      </c>
      <c r="F103" s="2">
        <f t="shared" si="15"/>
        <v>3.1838798014630774</v>
      </c>
    </row>
    <row r="104" spans="1:6" x14ac:dyDescent="0.3">
      <c r="A104" s="1">
        <v>-1.1109103472323792E-2</v>
      </c>
      <c r="B104" s="1">
        <f t="shared" si="13"/>
        <v>-8.4668197265507141E-3</v>
      </c>
      <c r="C104" s="8">
        <f t="shared" si="11"/>
        <v>2.6121050809678623E-2</v>
      </c>
      <c r="D104" s="8">
        <f t="shared" si="14"/>
        <v>-5.9038836032740301E-3</v>
      </c>
      <c r="E104" s="6">
        <f t="shared" si="12"/>
        <v>-5.2052198690497615E-3</v>
      </c>
      <c r="F104" s="2">
        <f t="shared" si="15"/>
        <v>3.1435684292439174</v>
      </c>
    </row>
    <row r="105" spans="1:6" x14ac:dyDescent="0.3">
      <c r="A105" s="1">
        <v>6.1209108240245415E-3</v>
      </c>
      <c r="B105" s="1">
        <f t="shared" si="13"/>
        <v>-1.1109103472323792E-2</v>
      </c>
      <c r="C105" s="8">
        <f t="shared" si="11"/>
        <v>-8.4668197265507141E-3</v>
      </c>
      <c r="D105" s="8">
        <f t="shared" si="14"/>
        <v>-1.8080388371231406E-3</v>
      </c>
      <c r="E105" s="6">
        <f t="shared" si="12"/>
        <v>7.9289496611476828E-3</v>
      </c>
      <c r="F105" s="2">
        <f t="shared" si="15"/>
        <v>3.0463865967411081</v>
      </c>
    </row>
    <row r="106" spans="1:6" x14ac:dyDescent="0.3">
      <c r="A106" s="1">
        <v>-7.5374971981373891E-3</v>
      </c>
      <c r="B106" s="1">
        <f t="shared" si="13"/>
        <v>6.1209108240245415E-3</v>
      </c>
      <c r="C106" s="8">
        <f t="shared" si="11"/>
        <v>-1.1109103472323792E-2</v>
      </c>
      <c r="D106" s="8">
        <f t="shared" si="14"/>
        <v>-2.9719794180013649E-3</v>
      </c>
      <c r="E106" s="6">
        <f t="shared" si="12"/>
        <v>-4.5655177801360242E-3</v>
      </c>
      <c r="F106" s="2">
        <f t="shared" si="15"/>
        <v>3.1609713202847494</v>
      </c>
    </row>
    <row r="107" spans="1:6" x14ac:dyDescent="0.3">
      <c r="A107" s="1">
        <v>4.7032340518382556E-3</v>
      </c>
      <c r="B107" s="1">
        <f t="shared" si="13"/>
        <v>-7.5374971981373891E-3</v>
      </c>
      <c r="C107" s="8">
        <f t="shared" si="11"/>
        <v>6.1209108240245415E-3</v>
      </c>
      <c r="D107" s="8">
        <f t="shared" si="14"/>
        <v>-3.7436716098162809E-3</v>
      </c>
      <c r="E107" s="6">
        <f t="shared" si="12"/>
        <v>8.4469056616545361E-3</v>
      </c>
      <c r="F107" s="2">
        <f t="shared" si="15"/>
        <v>3.0239267480565108</v>
      </c>
    </row>
    <row r="108" spans="1:6" x14ac:dyDescent="0.3">
      <c r="A108" s="1">
        <v>-1.975559711537285E-2</v>
      </c>
      <c r="B108" s="1">
        <f t="shared" si="13"/>
        <v>4.7032340518382556E-3</v>
      </c>
      <c r="C108" s="8">
        <f t="shared" si="11"/>
        <v>-7.5374971981373891E-3</v>
      </c>
      <c r="D108" s="8">
        <f t="shared" si="14"/>
        <v>-3.2517018158168386E-3</v>
      </c>
      <c r="E108" s="6">
        <f t="shared" si="12"/>
        <v>-1.650389529955601E-2</v>
      </c>
      <c r="F108" s="2">
        <f t="shared" si="15"/>
        <v>2.5465331399028313</v>
      </c>
    </row>
    <row r="109" spans="1:6" x14ac:dyDescent="0.3">
      <c r="A109" s="1">
        <v>-1.4212524715989411E-2</v>
      </c>
      <c r="B109" s="1">
        <f t="shared" si="13"/>
        <v>-1.975559711537285E-2</v>
      </c>
      <c r="C109" s="8">
        <f t="shared" si="11"/>
        <v>4.7032340518382556E-3</v>
      </c>
      <c r="D109" s="8">
        <f t="shared" si="14"/>
        <v>-2.5498445974106751E-3</v>
      </c>
      <c r="E109" s="6">
        <f t="shared" si="12"/>
        <v>-1.1662680118578735E-2</v>
      </c>
      <c r="F109" s="2">
        <f t="shared" si="15"/>
        <v>2.859449001357111</v>
      </c>
    </row>
    <row r="110" spans="1:6" x14ac:dyDescent="0.3">
      <c r="A110" s="1">
        <v>-2.4234725923036361E-2</v>
      </c>
      <c r="B110" s="1">
        <f t="shared" si="13"/>
        <v>-1.4212524715989411E-2</v>
      </c>
      <c r="C110" s="8">
        <f t="shared" si="11"/>
        <v>-1.975559711537285E-2</v>
      </c>
      <c r="D110" s="8">
        <f t="shared" si="14"/>
        <v>-2.8137700774903381E-4</v>
      </c>
      <c r="E110" s="6">
        <f t="shared" si="12"/>
        <v>-2.3953348915287328E-2</v>
      </c>
      <c r="F110" s="2">
        <f t="shared" si="15"/>
        <v>1.9753277762636723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ed57f9-8819-45bb-a9ab-8668b03bea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81EA905B6BC847BDD1FFADA815F393" ma:contentTypeVersion="18" ma:contentTypeDescription="Utwórz nowy dokument." ma:contentTypeScope="" ma:versionID="afd8298adbcd758530be9179f6044123">
  <xsd:schema xmlns:xsd="http://www.w3.org/2001/XMLSchema" xmlns:xs="http://www.w3.org/2001/XMLSchema" xmlns:p="http://schemas.microsoft.com/office/2006/metadata/properties" xmlns:ns3="ebed57f9-8819-45bb-a9ab-8668b03beab8" xmlns:ns4="692ade2a-f34a-415b-a005-a596550909dc" targetNamespace="http://schemas.microsoft.com/office/2006/metadata/properties" ma:root="true" ma:fieldsID="860df693389b34fca3d4c46cfc16f930" ns3:_="" ns4:_="">
    <xsd:import namespace="ebed57f9-8819-45bb-a9ab-8668b03beab8"/>
    <xsd:import namespace="692ade2a-f34a-415b-a005-a596550909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d57f9-8819-45bb-a9ab-8668b03be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ade2a-f34a-415b-a005-a596550909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FFD93F-4B00-46B0-9419-22F31EB9898B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692ade2a-f34a-415b-a005-a596550909dc"/>
    <ds:schemaRef ds:uri="ebed57f9-8819-45bb-a9ab-8668b03beab8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1044F9A-14FA-4FEB-ACF1-4D4FD4AFAA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D97B2-6205-4757-9853-90AD23C3B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ed57f9-8819-45bb-a9ab-8668b03beab8"/>
    <ds:schemaRef ds:uri="692ade2a-f34a-415b-a005-a596550909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Regresja</vt:lpstr>
      <vt:lpstr>MLE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Tomasz Wójtowicz</dc:creator>
  <cp:keywords/>
  <dc:description/>
  <cp:lastModifiedBy>Patrycja Piła</cp:lastModifiedBy>
  <cp:revision/>
  <dcterms:created xsi:type="dcterms:W3CDTF">2025-10-15T08:23:29Z</dcterms:created>
  <dcterms:modified xsi:type="dcterms:W3CDTF">2025-10-22T12:44:46Z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0x0101000D81EA905B6BC847BDD1FFADA815F393</vt:lpwstr>
  </property>
</Properties>
</file>